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95" activeTab="2"/>
  </bookViews>
  <sheets>
    <sheet name="COMPOSIÇÕES - ONDA B" sheetId="6" r:id="rId1"/>
    <sheet name="COMPOSIÇÕES - ONDA C" sheetId="7" r:id="rId2"/>
    <sheet name="COMPOSIÇÕES - ONDA BC" sheetId="8" r:id="rId3"/>
    <sheet name="COMUM" sheetId="1" r:id="rId4"/>
    <sheet name="RESINADO INT." sheetId="4" r:id="rId5"/>
    <sheet name="RESINADO INT. EXT." sheetId="5" r:id="rId6"/>
    <sheet name="Plan2" sheetId="2" r:id="rId7"/>
    <sheet name="Plan3" sheetId="3" r:id="rId8"/>
  </sheets>
  <calcPr calcId="125725"/>
</workbook>
</file>

<file path=xl/calcChain.xml><?xml version="1.0" encoding="utf-8"?>
<calcChain xmlns="http://schemas.openxmlformats.org/spreadsheetml/2006/main">
  <c r="AE30" i="5"/>
  <c r="AD30"/>
  <c r="T30"/>
  <c r="AC30" s="1"/>
  <c r="S30"/>
  <c r="AB30" s="1"/>
  <c r="R30"/>
  <c r="AA30" s="1"/>
  <c r="Q30"/>
  <c r="Z30" s="1"/>
  <c r="P30"/>
  <c r="Y30" s="1"/>
  <c r="AE29"/>
  <c r="AD29"/>
  <c r="T29"/>
  <c r="AC29" s="1"/>
  <c r="S29"/>
  <c r="AB29" s="1"/>
  <c r="R29"/>
  <c r="AA29" s="1"/>
  <c r="Q29"/>
  <c r="Z29" s="1"/>
  <c r="P29"/>
  <c r="AE28"/>
  <c r="AD28"/>
  <c r="T28"/>
  <c r="AC28" s="1"/>
  <c r="S28"/>
  <c r="AB28" s="1"/>
  <c r="R28"/>
  <c r="AA28" s="1"/>
  <c r="Q28"/>
  <c r="Z28" s="1"/>
  <c r="P28"/>
  <c r="Y28" s="1"/>
  <c r="AE27"/>
  <c r="AD27"/>
  <c r="T27"/>
  <c r="AC27" s="1"/>
  <c r="S27"/>
  <c r="AB27" s="1"/>
  <c r="R27"/>
  <c r="AA27" s="1"/>
  <c r="Q27"/>
  <c r="Z27" s="1"/>
  <c r="P27"/>
  <c r="AE26"/>
  <c r="AD26"/>
  <c r="T26"/>
  <c r="AC26" s="1"/>
  <c r="S26"/>
  <c r="AB26" s="1"/>
  <c r="R26"/>
  <c r="AA26" s="1"/>
  <c r="Q26"/>
  <c r="Z26" s="1"/>
  <c r="P26"/>
  <c r="Y26" s="1"/>
  <c r="AC23"/>
  <c r="AB23"/>
  <c r="R23"/>
  <c r="AA23" s="1"/>
  <c r="Q23"/>
  <c r="Z23" s="1"/>
  <c r="P23"/>
  <c r="Y23" s="1"/>
  <c r="AC22"/>
  <c r="AB22"/>
  <c r="R22"/>
  <c r="AA22" s="1"/>
  <c r="Q22"/>
  <c r="Z22" s="1"/>
  <c r="P22"/>
  <c r="AC21"/>
  <c r="AB21"/>
  <c r="R21"/>
  <c r="AA21" s="1"/>
  <c r="Q21"/>
  <c r="Z21" s="1"/>
  <c r="P21"/>
  <c r="Y21" s="1"/>
  <c r="AC20"/>
  <c r="AB20"/>
  <c r="R20"/>
  <c r="AA20" s="1"/>
  <c r="Q20"/>
  <c r="Z20" s="1"/>
  <c r="P20"/>
  <c r="AC19"/>
  <c r="AB19"/>
  <c r="R19"/>
  <c r="AA19" s="1"/>
  <c r="Q19"/>
  <c r="Z19" s="1"/>
  <c r="P19"/>
  <c r="Y19" s="1"/>
  <c r="AC18"/>
  <c r="AB18"/>
  <c r="R18"/>
  <c r="AA18" s="1"/>
  <c r="Q18"/>
  <c r="Z18" s="1"/>
  <c r="P18"/>
  <c r="AC17"/>
  <c r="AB17"/>
  <c r="R17"/>
  <c r="AA17" s="1"/>
  <c r="Q17"/>
  <c r="Z17" s="1"/>
  <c r="P17"/>
  <c r="Y17" s="1"/>
  <c r="AC16"/>
  <c r="AB16"/>
  <c r="R16"/>
  <c r="AA16" s="1"/>
  <c r="Q16"/>
  <c r="Z16" s="1"/>
  <c r="P16"/>
  <c r="AC15"/>
  <c r="AB15"/>
  <c r="R15"/>
  <c r="AA15" s="1"/>
  <c r="Q15"/>
  <c r="Z15" s="1"/>
  <c r="P15"/>
  <c r="Y15" s="1"/>
  <c r="AC13"/>
  <c r="AB13"/>
  <c r="R13"/>
  <c r="AA13" s="1"/>
  <c r="Q13"/>
  <c r="Z13" s="1"/>
  <c r="P13"/>
  <c r="AC12"/>
  <c r="AB12"/>
  <c r="R12"/>
  <c r="AA12" s="1"/>
  <c r="Q12"/>
  <c r="Z12" s="1"/>
  <c r="P12"/>
  <c r="Y12" s="1"/>
  <c r="AC11"/>
  <c r="AB11"/>
  <c r="R11"/>
  <c r="AA11" s="1"/>
  <c r="Q11"/>
  <c r="Z11" s="1"/>
  <c r="P11"/>
  <c r="AC10"/>
  <c r="AB10"/>
  <c r="R10"/>
  <c r="AA10" s="1"/>
  <c r="Q10"/>
  <c r="Z10" s="1"/>
  <c r="P10"/>
  <c r="Y10" s="1"/>
  <c r="AC9"/>
  <c r="AB9"/>
  <c r="R9"/>
  <c r="AA9" s="1"/>
  <c r="Q9"/>
  <c r="Z9" s="1"/>
  <c r="P9"/>
  <c r="AC8"/>
  <c r="AB8"/>
  <c r="R8"/>
  <c r="AA8" s="1"/>
  <c r="Q8"/>
  <c r="Z8" s="1"/>
  <c r="P8"/>
  <c r="Y8" s="1"/>
  <c r="AC7"/>
  <c r="AB7"/>
  <c r="R7"/>
  <c r="AA7" s="1"/>
  <c r="Q7"/>
  <c r="Z7" s="1"/>
  <c r="P7"/>
  <c r="AC6"/>
  <c r="AB6"/>
  <c r="R6"/>
  <c r="AA6" s="1"/>
  <c r="Q6"/>
  <c r="Z6" s="1"/>
  <c r="P6"/>
  <c r="Y6" s="1"/>
  <c r="AC5"/>
  <c r="AB5"/>
  <c r="R5"/>
  <c r="AA5" s="1"/>
  <c r="Q5"/>
  <c r="Z5" s="1"/>
  <c r="P5"/>
  <c r="AG30" i="4"/>
  <c r="AG29"/>
  <c r="AG28"/>
  <c r="AG27"/>
  <c r="AG26"/>
  <c r="AE23"/>
  <c r="AE22"/>
  <c r="AE21"/>
  <c r="AE20"/>
  <c r="AE19"/>
  <c r="AE18"/>
  <c r="AE17"/>
  <c r="AE16"/>
  <c r="AE15"/>
  <c r="AE13"/>
  <c r="AE12"/>
  <c r="AE11"/>
  <c r="AE10"/>
  <c r="AE9"/>
  <c r="AE8"/>
  <c r="AE7"/>
  <c r="AE6"/>
  <c r="AE5"/>
  <c r="V30"/>
  <c r="AE30" s="1"/>
  <c r="U30"/>
  <c r="AD30" s="1"/>
  <c r="T30"/>
  <c r="AC30" s="1"/>
  <c r="S30"/>
  <c r="AB30" s="1"/>
  <c r="R30"/>
  <c r="AA30" s="1"/>
  <c r="V29"/>
  <c r="AE29" s="1"/>
  <c r="U29"/>
  <c r="AD29" s="1"/>
  <c r="T29"/>
  <c r="AC29" s="1"/>
  <c r="S29"/>
  <c r="AB29" s="1"/>
  <c r="R29"/>
  <c r="V28"/>
  <c r="AE28" s="1"/>
  <c r="U28"/>
  <c r="AD28" s="1"/>
  <c r="T28"/>
  <c r="AC28" s="1"/>
  <c r="S28"/>
  <c r="AB28" s="1"/>
  <c r="R28"/>
  <c r="AA28" s="1"/>
  <c r="V27"/>
  <c r="AE27" s="1"/>
  <c r="U27"/>
  <c r="AD27" s="1"/>
  <c r="T27"/>
  <c r="AC27" s="1"/>
  <c r="S27"/>
  <c r="AB27" s="1"/>
  <c r="R27"/>
  <c r="V26"/>
  <c r="AE26" s="1"/>
  <c r="U26"/>
  <c r="AD26" s="1"/>
  <c r="T26"/>
  <c r="AC26" s="1"/>
  <c r="S26"/>
  <c r="AB26" s="1"/>
  <c r="R26"/>
  <c r="AA26" s="1"/>
  <c r="T23"/>
  <c r="AC23" s="1"/>
  <c r="S23"/>
  <c r="AB23" s="1"/>
  <c r="R23"/>
  <c r="AA23" s="1"/>
  <c r="T22"/>
  <c r="AC22" s="1"/>
  <c r="S22"/>
  <c r="AB22" s="1"/>
  <c r="R22"/>
  <c r="T21"/>
  <c r="AC21" s="1"/>
  <c r="S21"/>
  <c r="AB21" s="1"/>
  <c r="R21"/>
  <c r="AA21" s="1"/>
  <c r="T20"/>
  <c r="AC20" s="1"/>
  <c r="S20"/>
  <c r="AB20" s="1"/>
  <c r="R20"/>
  <c r="T19"/>
  <c r="AC19" s="1"/>
  <c r="S19"/>
  <c r="AB19" s="1"/>
  <c r="R19"/>
  <c r="AA19" s="1"/>
  <c r="T18"/>
  <c r="AC18" s="1"/>
  <c r="S18"/>
  <c r="AB18" s="1"/>
  <c r="R18"/>
  <c r="T17"/>
  <c r="AC17" s="1"/>
  <c r="S17"/>
  <c r="AB17" s="1"/>
  <c r="R17"/>
  <c r="AA17" s="1"/>
  <c r="T16"/>
  <c r="AC16" s="1"/>
  <c r="S16"/>
  <c r="AB16" s="1"/>
  <c r="R16"/>
  <c r="T15"/>
  <c r="AC15" s="1"/>
  <c r="S15"/>
  <c r="AB15" s="1"/>
  <c r="R15"/>
  <c r="AA15" s="1"/>
  <c r="T13"/>
  <c r="AC13" s="1"/>
  <c r="S13"/>
  <c r="AB13" s="1"/>
  <c r="R13"/>
  <c r="AA13" s="1"/>
  <c r="T12"/>
  <c r="AC12" s="1"/>
  <c r="S12"/>
  <c r="AB12" s="1"/>
  <c r="R12"/>
  <c r="T11"/>
  <c r="AC11" s="1"/>
  <c r="S11"/>
  <c r="AB11" s="1"/>
  <c r="R11"/>
  <c r="AA11" s="1"/>
  <c r="T10"/>
  <c r="AC10" s="1"/>
  <c r="S10"/>
  <c r="AB10" s="1"/>
  <c r="R10"/>
  <c r="T9"/>
  <c r="AC9" s="1"/>
  <c r="S9"/>
  <c r="AB9" s="1"/>
  <c r="R9"/>
  <c r="AA9" s="1"/>
  <c r="T8"/>
  <c r="AC8" s="1"/>
  <c r="S8"/>
  <c r="AB8" s="1"/>
  <c r="R8"/>
  <c r="T7"/>
  <c r="AC7" s="1"/>
  <c r="S7"/>
  <c r="AB7" s="1"/>
  <c r="R7"/>
  <c r="AA7" s="1"/>
  <c r="T6"/>
  <c r="AC6" s="1"/>
  <c r="S6"/>
  <c r="AB6" s="1"/>
  <c r="R6"/>
  <c r="T5"/>
  <c r="AC5" s="1"/>
  <c r="S5"/>
  <c r="AB5" s="1"/>
  <c r="R5"/>
  <c r="AA5" s="1"/>
  <c r="AF32" i="1"/>
  <c r="AN32" s="1"/>
  <c r="AF31"/>
  <c r="AN31" s="1"/>
  <c r="AF30"/>
  <c r="AN30" s="1"/>
  <c r="AF29"/>
  <c r="AN29" s="1"/>
  <c r="AF28"/>
  <c r="AN28" s="1"/>
  <c r="AE32"/>
  <c r="AM32" s="1"/>
  <c r="AE31"/>
  <c r="AM31" s="1"/>
  <c r="AE30"/>
  <c r="AM30" s="1"/>
  <c r="AE29"/>
  <c r="AM29" s="1"/>
  <c r="AE28"/>
  <c r="AM28" s="1"/>
  <c r="AD25"/>
  <c r="AL25" s="1"/>
  <c r="AD24"/>
  <c r="AL24" s="1"/>
  <c r="AD23"/>
  <c r="AL23" s="1"/>
  <c r="AD22"/>
  <c r="AL22" s="1"/>
  <c r="AD21"/>
  <c r="AL21" s="1"/>
  <c r="AD20"/>
  <c r="AL20" s="1"/>
  <c r="AD19"/>
  <c r="AL19" s="1"/>
  <c r="AD18"/>
  <c r="AL18" s="1"/>
  <c r="AD17"/>
  <c r="AL17" s="1"/>
  <c r="AD16"/>
  <c r="AL16" s="1"/>
  <c r="AD14"/>
  <c r="AL14" s="1"/>
  <c r="AD13"/>
  <c r="AL13" s="1"/>
  <c r="AD12"/>
  <c r="AL12" s="1"/>
  <c r="AD11"/>
  <c r="AL11" s="1"/>
  <c r="AD10"/>
  <c r="AL10" s="1"/>
  <c r="AD9"/>
  <c r="AL9" s="1"/>
  <c r="AD8"/>
  <c r="AL8" s="1"/>
  <c r="AD7"/>
  <c r="AL7" s="1"/>
  <c r="AD6"/>
  <c r="AL6" s="1"/>
  <c r="AD5"/>
  <c r="AL5" s="1"/>
  <c r="AD32"/>
  <c r="AL32" s="1"/>
  <c r="AD31"/>
  <c r="AL31" s="1"/>
  <c r="AD30"/>
  <c r="AL30" s="1"/>
  <c r="AD29"/>
  <c r="AL29" s="1"/>
  <c r="AD28"/>
  <c r="AL28" s="1"/>
  <c r="AC32"/>
  <c r="AK32" s="1"/>
  <c r="AC31"/>
  <c r="AK31" s="1"/>
  <c r="AC30"/>
  <c r="AK30" s="1"/>
  <c r="AC29"/>
  <c r="AK29" s="1"/>
  <c r="AC28"/>
  <c r="AK28" s="1"/>
  <c r="AC25"/>
  <c r="AK25" s="1"/>
  <c r="AC24"/>
  <c r="AK24" s="1"/>
  <c r="AC23"/>
  <c r="AK23" s="1"/>
  <c r="AC22"/>
  <c r="AK22" s="1"/>
  <c r="AC21"/>
  <c r="AK21" s="1"/>
  <c r="AC20"/>
  <c r="AK20" s="1"/>
  <c r="AC19"/>
  <c r="AK19" s="1"/>
  <c r="AC18"/>
  <c r="AK18" s="1"/>
  <c r="AC17"/>
  <c r="AK17" s="1"/>
  <c r="AC16"/>
  <c r="AK16" s="1"/>
  <c r="AC14"/>
  <c r="AK14" s="1"/>
  <c r="AC13"/>
  <c r="AK13" s="1"/>
  <c r="AC12"/>
  <c r="AK12" s="1"/>
  <c r="AC11"/>
  <c r="AK11" s="1"/>
  <c r="AC10"/>
  <c r="AK10" s="1"/>
  <c r="AC9"/>
  <c r="AK9" s="1"/>
  <c r="AC8"/>
  <c r="AK8" s="1"/>
  <c r="AC7"/>
  <c r="AK7" s="1"/>
  <c r="AC6"/>
  <c r="AK6" s="1"/>
  <c r="AC5"/>
  <c r="AB32"/>
  <c r="AJ32" s="1"/>
  <c r="AB31"/>
  <c r="AB30"/>
  <c r="AJ30" s="1"/>
  <c r="AB29"/>
  <c r="AB28"/>
  <c r="AJ28" s="1"/>
  <c r="AB25"/>
  <c r="AJ25" s="1"/>
  <c r="AB24"/>
  <c r="AJ24" s="1"/>
  <c r="AB23"/>
  <c r="AB22"/>
  <c r="AJ22" s="1"/>
  <c r="AB21"/>
  <c r="AJ21" s="1"/>
  <c r="AB20"/>
  <c r="AJ20" s="1"/>
  <c r="AB19"/>
  <c r="AB18"/>
  <c r="AJ18" s="1"/>
  <c r="AB17"/>
  <c r="AJ17" s="1"/>
  <c r="AB16"/>
  <c r="AJ16" s="1"/>
  <c r="AB14"/>
  <c r="AJ14" s="1"/>
  <c r="AB13"/>
  <c r="AJ13" s="1"/>
  <c r="AB12"/>
  <c r="AB11"/>
  <c r="AJ11" s="1"/>
  <c r="AB10"/>
  <c r="AJ10" s="1"/>
  <c r="AB9"/>
  <c r="AJ9" s="1"/>
  <c r="AB8"/>
  <c r="AB7"/>
  <c r="AJ7" s="1"/>
  <c r="AB6"/>
  <c r="AJ6" s="1"/>
  <c r="AB5"/>
  <c r="AJ5" s="1"/>
  <c r="S5" i="5" l="1"/>
  <c r="S9"/>
  <c r="S18"/>
  <c r="S7"/>
  <c r="S11"/>
  <c r="S16"/>
  <c r="S20"/>
  <c r="AF26"/>
  <c r="AE8" i="1"/>
  <c r="AF8" s="1"/>
  <c r="AM8" s="1"/>
  <c r="AE12"/>
  <c r="AF12" s="1"/>
  <c r="AM12" s="1"/>
  <c r="AG31"/>
  <c r="AH31" s="1"/>
  <c r="AO31" s="1"/>
  <c r="AE19"/>
  <c r="AF19" s="1"/>
  <c r="AM19" s="1"/>
  <c r="AE23"/>
  <c r="AF23" s="1"/>
  <c r="AM23" s="1"/>
  <c r="AG29"/>
  <c r="AH29" s="1"/>
  <c r="AO29" s="1"/>
  <c r="AE5"/>
  <c r="AF5" s="1"/>
  <c r="AM5" s="1"/>
  <c r="U27" i="5"/>
  <c r="S13"/>
  <c r="S22"/>
  <c r="U29"/>
  <c r="AF30"/>
  <c r="AD6"/>
  <c r="AD10"/>
  <c r="AD15"/>
  <c r="AD19"/>
  <c r="AD23"/>
  <c r="AF28"/>
  <c r="AD8"/>
  <c r="AD12"/>
  <c r="AD17"/>
  <c r="AD21"/>
  <c r="S6"/>
  <c r="S8"/>
  <c r="S10"/>
  <c r="S12"/>
  <c r="S15"/>
  <c r="S17"/>
  <c r="S19"/>
  <c r="S21"/>
  <c r="S23"/>
  <c r="U26"/>
  <c r="U28"/>
  <c r="U30"/>
  <c r="Y5"/>
  <c r="AD5" s="1"/>
  <c r="Y7"/>
  <c r="AD7" s="1"/>
  <c r="Y9"/>
  <c r="AD9" s="1"/>
  <c r="Y11"/>
  <c r="AD11" s="1"/>
  <c r="Y13"/>
  <c r="AD13" s="1"/>
  <c r="Y16"/>
  <c r="AD16" s="1"/>
  <c r="Y18"/>
  <c r="AD18" s="1"/>
  <c r="Y20"/>
  <c r="AD20" s="1"/>
  <c r="Y22"/>
  <c r="AD22" s="1"/>
  <c r="Y27"/>
  <c r="AF27" s="1"/>
  <c r="Y29"/>
  <c r="AF29" s="1"/>
  <c r="W29" i="4"/>
  <c r="AF29" s="1"/>
  <c r="U6"/>
  <c r="AD6" s="1"/>
  <c r="U8"/>
  <c r="AD8" s="1"/>
  <c r="U10"/>
  <c r="AD10" s="1"/>
  <c r="U12"/>
  <c r="AD12" s="1"/>
  <c r="U16"/>
  <c r="AD16" s="1"/>
  <c r="U18"/>
  <c r="AD18" s="1"/>
  <c r="U20"/>
  <c r="AD20" s="1"/>
  <c r="U22"/>
  <c r="AD22" s="1"/>
  <c r="W27"/>
  <c r="AF27" s="1"/>
  <c r="U5"/>
  <c r="AD5" s="1"/>
  <c r="AF5" s="1"/>
  <c r="AA6"/>
  <c r="U7"/>
  <c r="AD7" s="1"/>
  <c r="AF7" s="1"/>
  <c r="AA8"/>
  <c r="U9"/>
  <c r="AD9" s="1"/>
  <c r="AF9" s="1"/>
  <c r="AA10"/>
  <c r="AF10" s="1"/>
  <c r="U11"/>
  <c r="AD11" s="1"/>
  <c r="AF11" s="1"/>
  <c r="AA12"/>
  <c r="U13"/>
  <c r="AD13" s="1"/>
  <c r="AF13" s="1"/>
  <c r="U15"/>
  <c r="AD15" s="1"/>
  <c r="AF15" s="1"/>
  <c r="AA16"/>
  <c r="U17"/>
  <c r="AD17" s="1"/>
  <c r="AF17" s="1"/>
  <c r="AA18"/>
  <c r="AF18" s="1"/>
  <c r="U19"/>
  <c r="AD19" s="1"/>
  <c r="AF19" s="1"/>
  <c r="AA20"/>
  <c r="U21"/>
  <c r="AD21" s="1"/>
  <c r="AF21" s="1"/>
  <c r="AA22"/>
  <c r="AF22" s="1"/>
  <c r="U23"/>
  <c r="AD23" s="1"/>
  <c r="AF23" s="1"/>
  <c r="W26"/>
  <c r="AF26" s="1"/>
  <c r="AH26" s="1"/>
  <c r="AA27"/>
  <c r="AH27" s="1"/>
  <c r="W28"/>
  <c r="AF28" s="1"/>
  <c r="AH28" s="1"/>
  <c r="AA29"/>
  <c r="W30"/>
  <c r="AF30" s="1"/>
  <c r="AH30" s="1"/>
  <c r="AE7" i="1"/>
  <c r="AF7" s="1"/>
  <c r="AM7" s="1"/>
  <c r="AN7" s="1"/>
  <c r="AE11"/>
  <c r="AF11" s="1"/>
  <c r="AM11" s="1"/>
  <c r="AN11" s="1"/>
  <c r="AE18"/>
  <c r="AF18" s="1"/>
  <c r="AM18" s="1"/>
  <c r="AN18" s="1"/>
  <c r="AE22"/>
  <c r="AF22" s="1"/>
  <c r="AM22" s="1"/>
  <c r="AN22" s="1"/>
  <c r="AJ29"/>
  <c r="AJ31"/>
  <c r="AP31" s="1"/>
  <c r="AG28"/>
  <c r="AH28" s="1"/>
  <c r="AO28" s="1"/>
  <c r="AP28" s="1"/>
  <c r="AG30"/>
  <c r="AH30" s="1"/>
  <c r="AO30" s="1"/>
  <c r="AP30" s="1"/>
  <c r="AE6"/>
  <c r="AF6" s="1"/>
  <c r="AM6" s="1"/>
  <c r="AN6" s="1"/>
  <c r="AE10"/>
  <c r="AF10" s="1"/>
  <c r="AM10" s="1"/>
  <c r="AN10" s="1"/>
  <c r="AE14"/>
  <c r="AF14" s="1"/>
  <c r="AM14" s="1"/>
  <c r="AN14" s="1"/>
  <c r="AE17"/>
  <c r="AF17" s="1"/>
  <c r="AM17" s="1"/>
  <c r="AN17" s="1"/>
  <c r="AE21"/>
  <c r="AF21" s="1"/>
  <c r="AM21" s="1"/>
  <c r="AN21" s="1"/>
  <c r="AE25"/>
  <c r="AF25" s="1"/>
  <c r="AM25" s="1"/>
  <c r="AN25" s="1"/>
  <c r="AG32"/>
  <c r="AH32" s="1"/>
  <c r="AO32" s="1"/>
  <c r="AP32" s="1"/>
  <c r="AE9"/>
  <c r="AF9" s="1"/>
  <c r="AM9" s="1"/>
  <c r="AN9" s="1"/>
  <c r="AE13"/>
  <c r="AF13" s="1"/>
  <c r="AM13" s="1"/>
  <c r="AN13" s="1"/>
  <c r="AE16"/>
  <c r="AF16" s="1"/>
  <c r="AM16" s="1"/>
  <c r="AN16" s="1"/>
  <c r="AE20"/>
  <c r="AF20" s="1"/>
  <c r="AM20" s="1"/>
  <c r="AN20" s="1"/>
  <c r="AE24"/>
  <c r="AF24" s="1"/>
  <c r="AM24" s="1"/>
  <c r="AN24" s="1"/>
  <c r="AK5"/>
  <c r="AN5" s="1"/>
  <c r="AJ8"/>
  <c r="AJ12"/>
  <c r="AJ19"/>
  <c r="AN19" s="1"/>
  <c r="AJ23"/>
  <c r="AN23" s="1"/>
  <c r="AF6" i="4" l="1"/>
  <c r="AN8" i="1"/>
  <c r="AH29" i="4"/>
  <c r="AF12"/>
  <c r="AF8"/>
  <c r="AF20"/>
  <c r="AF16"/>
  <c r="AN12" i="1"/>
  <c r="AP29"/>
</calcChain>
</file>

<file path=xl/sharedStrings.xml><?xml version="1.0" encoding="utf-8"?>
<sst xmlns="http://schemas.openxmlformats.org/spreadsheetml/2006/main" count="837" uniqueCount="243">
  <si>
    <t>BKC</t>
  </si>
  <si>
    <t>KKC</t>
  </si>
  <si>
    <t>BKB</t>
  </si>
  <si>
    <t>CCC</t>
  </si>
  <si>
    <t>CCB</t>
  </si>
  <si>
    <t>KKB</t>
  </si>
  <si>
    <t>CAPA</t>
  </si>
  <si>
    <t>ONDA</t>
  </si>
  <si>
    <t>CAPA INT.</t>
  </si>
  <si>
    <t>KKBC</t>
  </si>
  <si>
    <t>BKBC</t>
  </si>
  <si>
    <t>COLA</t>
  </si>
  <si>
    <t>TOTAL</t>
  </si>
  <si>
    <t>RESINA</t>
  </si>
  <si>
    <t>GRAM.</t>
  </si>
  <si>
    <t>P.O.</t>
  </si>
  <si>
    <t>ANTIGO</t>
  </si>
  <si>
    <t>KK0B</t>
  </si>
  <si>
    <t>KK1B</t>
  </si>
  <si>
    <t>KK2B</t>
  </si>
  <si>
    <t>KK3B</t>
  </si>
  <si>
    <t>KK4B</t>
  </si>
  <si>
    <t>BCB</t>
  </si>
  <si>
    <t>BK1B</t>
  </si>
  <si>
    <t>KK0C</t>
  </si>
  <si>
    <t>KK1C</t>
  </si>
  <si>
    <t>KK2C</t>
  </si>
  <si>
    <t>KK3C</t>
  </si>
  <si>
    <t>KK4C</t>
  </si>
  <si>
    <t>BCC</t>
  </si>
  <si>
    <t>BK1C</t>
  </si>
  <si>
    <t>CCBC</t>
  </si>
  <si>
    <t>KK1BC</t>
  </si>
  <si>
    <t>KK2BC</t>
  </si>
  <si>
    <t>C100</t>
  </si>
  <si>
    <t>MI95</t>
  </si>
  <si>
    <t>TL100</t>
  </si>
  <si>
    <t>TL160</t>
  </si>
  <si>
    <t>MI140</t>
  </si>
  <si>
    <t>WT120</t>
  </si>
  <si>
    <t>MI110</t>
  </si>
  <si>
    <t>TL120</t>
  </si>
  <si>
    <t>TL140</t>
  </si>
  <si>
    <t>KK0BRI</t>
  </si>
  <si>
    <t>KKBRI</t>
  </si>
  <si>
    <t>KK1BRI</t>
  </si>
  <si>
    <t>KK2BRI</t>
  </si>
  <si>
    <t>KK3BRI</t>
  </si>
  <si>
    <t>KK4BRI</t>
  </si>
  <si>
    <t>BCBRI</t>
  </si>
  <si>
    <t>BKBRI</t>
  </si>
  <si>
    <t>BK1BRI</t>
  </si>
  <si>
    <t>KK0CRI</t>
  </si>
  <si>
    <t>KKCRI</t>
  </si>
  <si>
    <t>KK1CRI</t>
  </si>
  <si>
    <t>KK2CRI</t>
  </si>
  <si>
    <t>KK3CRI</t>
  </si>
  <si>
    <t>KK4CRI</t>
  </si>
  <si>
    <t>BCCRI</t>
  </si>
  <si>
    <t>BKCRI</t>
  </si>
  <si>
    <t>BK1CRI</t>
  </si>
  <si>
    <t>CCBCRI</t>
  </si>
  <si>
    <t>KKBCRI</t>
  </si>
  <si>
    <t>KK1BCRI</t>
  </si>
  <si>
    <t>KK2BCRI</t>
  </si>
  <si>
    <t>BKBCRI</t>
  </si>
  <si>
    <t>KK0BRR</t>
  </si>
  <si>
    <t>KKBRR</t>
  </si>
  <si>
    <t>KK1BRR</t>
  </si>
  <si>
    <t>KK2BRR</t>
  </si>
  <si>
    <t>KK3BRR</t>
  </si>
  <si>
    <t>KK4BRR</t>
  </si>
  <si>
    <t>BCBRR</t>
  </si>
  <si>
    <t>BKBRR</t>
  </si>
  <si>
    <t>BK1BRR</t>
  </si>
  <si>
    <t>KK0CRR</t>
  </si>
  <si>
    <t>KKCRR</t>
  </si>
  <si>
    <t>KK1CRR</t>
  </si>
  <si>
    <t>KK2CRR</t>
  </si>
  <si>
    <t>KK3CRR</t>
  </si>
  <si>
    <t>KK4CRR</t>
  </si>
  <si>
    <t>BCCRR</t>
  </si>
  <si>
    <t>BKCRR</t>
  </si>
  <si>
    <t>BK1CRR</t>
  </si>
  <si>
    <t>CCBCRR</t>
  </si>
  <si>
    <t>KKBCRR</t>
  </si>
  <si>
    <t>KK1BCRR</t>
  </si>
  <si>
    <t>KK2BCRR</t>
  </si>
  <si>
    <t>BKBCRR</t>
  </si>
  <si>
    <t>RESINADO INTERNO E EXTERNO</t>
  </si>
  <si>
    <t>RESINADO INTERNO</t>
  </si>
  <si>
    <t>S/ RESINADO</t>
  </si>
  <si>
    <t>TL110</t>
  </si>
  <si>
    <t>MI160</t>
  </si>
  <si>
    <t>ATUAL</t>
  </si>
  <si>
    <t>CCB335</t>
  </si>
  <si>
    <t>KKB335</t>
  </si>
  <si>
    <t>KKB375</t>
  </si>
  <si>
    <t>KKB434</t>
  </si>
  <si>
    <t>KKB474</t>
  </si>
  <si>
    <t>KKB514</t>
  </si>
  <si>
    <t>KKB540</t>
  </si>
  <si>
    <t>BKB355</t>
  </si>
  <si>
    <t>BKB395</t>
  </si>
  <si>
    <t>BKB435</t>
  </si>
  <si>
    <t>COLUNA</t>
  </si>
  <si>
    <t>DESCRIÇÃO</t>
  </si>
  <si>
    <t>CC.B.335.025</t>
  </si>
  <si>
    <t>KK.B.335.040</t>
  </si>
  <si>
    <t>KK.B.375.050</t>
  </si>
  <si>
    <t>KK.B.434.060</t>
  </si>
  <si>
    <t>KK.B.474.070</t>
  </si>
  <si>
    <t>KK.B.514.080</t>
  </si>
  <si>
    <t>KK.B.540.090</t>
  </si>
  <si>
    <t>BK.B.355.040</t>
  </si>
  <si>
    <t>BK.B.395.050</t>
  </si>
  <si>
    <t>BK.B.435.060</t>
  </si>
  <si>
    <t>CC.C.345.025</t>
  </si>
  <si>
    <t>KK.BC.575.060</t>
  </si>
  <si>
    <t>KK.BC.656.070</t>
  </si>
  <si>
    <t>KK.BC.696.080</t>
  </si>
  <si>
    <t>KK.BC.777.090</t>
  </si>
  <si>
    <t>BK.BC.615.070</t>
  </si>
  <si>
    <t>KKB385</t>
  </si>
  <si>
    <t>KKB395</t>
  </si>
  <si>
    <t>KKB444</t>
  </si>
  <si>
    <t>KKB454</t>
  </si>
  <si>
    <t>KKB484</t>
  </si>
  <si>
    <t>KKB494</t>
  </si>
  <si>
    <t>KKB524</t>
  </si>
  <si>
    <t>KKB534</t>
  </si>
  <si>
    <t>KKB550</t>
  </si>
  <si>
    <t>KKB560</t>
  </si>
  <si>
    <t>BKB365</t>
  </si>
  <si>
    <t>BKB375</t>
  </si>
  <si>
    <t>BKB405</t>
  </si>
  <si>
    <t>BKB415</t>
  </si>
  <si>
    <t>BKB445</t>
  </si>
  <si>
    <t>BKB455</t>
  </si>
  <si>
    <t>KKB345</t>
  </si>
  <si>
    <t>KKB355</t>
  </si>
  <si>
    <t>ONDA B</t>
  </si>
  <si>
    <t>ONDA C</t>
  </si>
  <si>
    <t>CCC345</t>
  </si>
  <si>
    <t>KKC345</t>
  </si>
  <si>
    <t>KKC355</t>
  </si>
  <si>
    <t>KKC365</t>
  </si>
  <si>
    <t>KKC386</t>
  </si>
  <si>
    <t>KKC396</t>
  </si>
  <si>
    <t>KKC406</t>
  </si>
  <si>
    <t>KKC448</t>
  </si>
  <si>
    <t>KKC458</t>
  </si>
  <si>
    <t>KKC468</t>
  </si>
  <si>
    <t>KKC488</t>
  </si>
  <si>
    <t>KKC498</t>
  </si>
  <si>
    <t>KKC508</t>
  </si>
  <si>
    <t>KKC528</t>
  </si>
  <si>
    <t>KKC538</t>
  </si>
  <si>
    <t>KKC548</t>
  </si>
  <si>
    <t>KKC556</t>
  </si>
  <si>
    <t>KKC566</t>
  </si>
  <si>
    <t>KKC576</t>
  </si>
  <si>
    <t>BKC365</t>
  </si>
  <si>
    <t>BKC375</t>
  </si>
  <si>
    <t>BKC406</t>
  </si>
  <si>
    <t>BKC446</t>
  </si>
  <si>
    <t>BKC456</t>
  </si>
  <si>
    <t>BKC466</t>
  </si>
  <si>
    <t>KK.C.345.040</t>
  </si>
  <si>
    <t>KK.C.386.050</t>
  </si>
  <si>
    <t>KK.C.448.060</t>
  </si>
  <si>
    <t>KK.C.488.070</t>
  </si>
  <si>
    <t>KK.C.528.080</t>
  </si>
  <si>
    <t>KK.C.556.090</t>
  </si>
  <si>
    <t>BK.C.365.040</t>
  </si>
  <si>
    <t>BKC385</t>
  </si>
  <si>
    <t>BK.C.406.050</t>
  </si>
  <si>
    <t>BK.C.446.060</t>
  </si>
  <si>
    <t>BKC426</t>
  </si>
  <si>
    <t>BKC416</t>
  </si>
  <si>
    <t>KK.B.345.040.R</t>
  </si>
  <si>
    <t>KK.B.355.040.RR</t>
  </si>
  <si>
    <t>KK.B.385.050.R</t>
  </si>
  <si>
    <t>KK.B.395.050.RR</t>
  </si>
  <si>
    <t>KK.B.434.060.R</t>
  </si>
  <si>
    <t>KK.B.434.060.RR</t>
  </si>
  <si>
    <t>KK.B.474.070.R</t>
  </si>
  <si>
    <t>KK.B.474.070.RR</t>
  </si>
  <si>
    <t>KK.B.514.080.R</t>
  </si>
  <si>
    <t>KK.B.514.080.RR</t>
  </si>
  <si>
    <t>KK.B.540.090.R</t>
  </si>
  <si>
    <t>KK.B.540.090.RR</t>
  </si>
  <si>
    <t>BK.B.355.040.R</t>
  </si>
  <si>
    <t>BK.B.355.040.RR</t>
  </si>
  <si>
    <t>BK.B.395.050.R</t>
  </si>
  <si>
    <t>BK.B.395.050.RR</t>
  </si>
  <si>
    <t>BK.B.435.060.R</t>
  </si>
  <si>
    <t>BK.B.435.060.RR</t>
  </si>
  <si>
    <t>KK.C.355.040.R</t>
  </si>
  <si>
    <t>KK.C.365.040.RR</t>
  </si>
  <si>
    <t>KK.C.396.050.R</t>
  </si>
  <si>
    <t>KK.C.406.050.RR</t>
  </si>
  <si>
    <t>KK.C.458.060.R</t>
  </si>
  <si>
    <t>KK.C.468.060.RR</t>
  </si>
  <si>
    <t>KK.C.498.070.R</t>
  </si>
  <si>
    <t>KK.C.508.070.RR</t>
  </si>
  <si>
    <t>KK.C.538.080.R</t>
  </si>
  <si>
    <t>KK.C.548.080.RR</t>
  </si>
  <si>
    <t>KK.C.566.090.R</t>
  </si>
  <si>
    <t>KK.C.576.090.RR</t>
  </si>
  <si>
    <t>BK.C.375.040.R</t>
  </si>
  <si>
    <t>BK.C.385.040.RR</t>
  </si>
  <si>
    <t>BK.C.416.050.R</t>
  </si>
  <si>
    <t>BK.C.426.050.RR</t>
  </si>
  <si>
    <t>BK.C.456.060.R</t>
  </si>
  <si>
    <t>BK.C.466.060.RR</t>
  </si>
  <si>
    <t>ONDA BC</t>
  </si>
  <si>
    <t>ALTERAÇÃO NAS COMPOSIÇÕES DO PAPELÃO</t>
  </si>
  <si>
    <t>KK.BC.585.060.R</t>
  </si>
  <si>
    <t>KK.BC.595.060.RR</t>
  </si>
  <si>
    <t>KK.BC.666.070.R</t>
  </si>
  <si>
    <t>KK.BC.676.070.RR</t>
  </si>
  <si>
    <t>KK.BC.706.080.R</t>
  </si>
  <si>
    <t>KK.BC.716.080.RR</t>
  </si>
  <si>
    <t>KK.BC.787.090.R</t>
  </si>
  <si>
    <t>KK.BC.797.090.RR</t>
  </si>
  <si>
    <t>BK.BC.625.070.R</t>
  </si>
  <si>
    <t>BK.BC.635.070.RR</t>
  </si>
  <si>
    <t>KKBC575</t>
  </si>
  <si>
    <t>KKBC585</t>
  </si>
  <si>
    <t>KKBC595</t>
  </si>
  <si>
    <t>KKBC656</t>
  </si>
  <si>
    <t>KKBC666</t>
  </si>
  <si>
    <t>KKBC676</t>
  </si>
  <si>
    <t>KKBC696</t>
  </si>
  <si>
    <t>KKBC706</t>
  </si>
  <si>
    <t>KKBC716</t>
  </si>
  <si>
    <t>KKBC777</t>
  </si>
  <si>
    <t>KKBC787</t>
  </si>
  <si>
    <t>KKBC797</t>
  </si>
  <si>
    <t>BKBC615</t>
  </si>
  <si>
    <t>BKBC625</t>
  </si>
  <si>
    <t>BKBC635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</si>
</sst>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3" fillId="0" borderId="0" xfId="0" applyFont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4"/>
  <sheetViews>
    <sheetView workbookViewId="0">
      <selection activeCell="A2" sqref="A2:H2"/>
    </sheetView>
  </sheetViews>
  <sheetFormatPr defaultRowHeight="15"/>
  <cols>
    <col min="1" max="1" width="8.7109375" customWidth="1"/>
    <col min="2" max="2" width="8.7109375" style="5" customWidth="1"/>
    <col min="3" max="3" width="16.7109375" style="5" customWidth="1"/>
    <col min="4" max="10" width="8.7109375" style="5" customWidth="1"/>
    <col min="11" max="11" width="8.7109375" customWidth="1"/>
    <col min="12" max="12" width="14.7109375" customWidth="1"/>
    <col min="13" max="17" width="8.7109375" customWidth="1"/>
  </cols>
  <sheetData>
    <row r="2" spans="1:15" ht="26.25">
      <c r="A2" s="29" t="s">
        <v>217</v>
      </c>
      <c r="B2" s="29"/>
      <c r="C2" s="29"/>
      <c r="D2" s="29"/>
      <c r="E2" s="29"/>
      <c r="F2" s="29"/>
      <c r="G2" s="29"/>
      <c r="H2" s="29"/>
      <c r="I2" s="19"/>
      <c r="J2" s="19"/>
      <c r="K2" s="19"/>
      <c r="L2" s="19"/>
      <c r="M2" s="19"/>
      <c r="N2" s="19"/>
      <c r="O2" s="19"/>
    </row>
    <row r="4" spans="1:15" ht="21">
      <c r="A4" s="30" t="s">
        <v>141</v>
      </c>
      <c r="B4" s="30"/>
      <c r="C4" s="30"/>
      <c r="D4" s="30"/>
      <c r="E4" s="30"/>
      <c r="F4" s="30"/>
      <c r="G4" s="30"/>
      <c r="H4" s="30"/>
    </row>
    <row r="6" spans="1:15">
      <c r="A6" s="7" t="s">
        <v>16</v>
      </c>
      <c r="B6" s="7" t="s">
        <v>94</v>
      </c>
      <c r="C6" s="7" t="s">
        <v>106</v>
      </c>
      <c r="D6" s="7" t="s">
        <v>6</v>
      </c>
      <c r="E6" s="7" t="s">
        <v>7</v>
      </c>
      <c r="F6" s="7" t="s">
        <v>6</v>
      </c>
      <c r="G6" s="7" t="s">
        <v>14</v>
      </c>
      <c r="H6" s="7" t="s">
        <v>105</v>
      </c>
      <c r="I6" s="11"/>
    </row>
    <row r="7" spans="1:15">
      <c r="A7" s="6" t="s">
        <v>4</v>
      </c>
      <c r="B7" s="6" t="s">
        <v>95</v>
      </c>
      <c r="C7" s="6" t="s">
        <v>107</v>
      </c>
      <c r="D7" s="16" t="s">
        <v>34</v>
      </c>
      <c r="E7" s="16" t="s">
        <v>35</v>
      </c>
      <c r="F7" s="16" t="s">
        <v>34</v>
      </c>
      <c r="G7" s="16">
        <v>335</v>
      </c>
      <c r="H7" s="16">
        <v>2.5</v>
      </c>
      <c r="I7" s="17"/>
    </row>
    <row r="8" spans="1:15">
      <c r="A8" s="6" t="s">
        <v>17</v>
      </c>
      <c r="B8" s="6" t="s">
        <v>96</v>
      </c>
      <c r="C8" s="6" t="s">
        <v>108</v>
      </c>
      <c r="D8" s="20" t="s">
        <v>36</v>
      </c>
      <c r="E8" s="20" t="s">
        <v>35</v>
      </c>
      <c r="F8" s="20" t="s">
        <v>36</v>
      </c>
      <c r="G8" s="13">
        <v>335</v>
      </c>
      <c r="H8" s="23">
        <v>4</v>
      </c>
      <c r="I8" s="18"/>
    </row>
    <row r="9" spans="1:15">
      <c r="A9" s="6" t="s">
        <v>43</v>
      </c>
      <c r="B9" s="6" t="s">
        <v>139</v>
      </c>
      <c r="C9" s="6" t="s">
        <v>180</v>
      </c>
      <c r="D9" s="21"/>
      <c r="E9" s="21"/>
      <c r="F9" s="21"/>
      <c r="G9" s="14">
        <v>345</v>
      </c>
      <c r="H9" s="24"/>
      <c r="I9" s="18"/>
    </row>
    <row r="10" spans="1:15">
      <c r="A10" s="6" t="s">
        <v>66</v>
      </c>
      <c r="B10" s="6" t="s">
        <v>140</v>
      </c>
      <c r="C10" s="6" t="s">
        <v>181</v>
      </c>
      <c r="D10" s="22"/>
      <c r="E10" s="22"/>
      <c r="F10" s="22"/>
      <c r="G10" s="15">
        <v>355</v>
      </c>
      <c r="H10" s="25"/>
      <c r="I10" s="18"/>
    </row>
    <row r="11" spans="1:15">
      <c r="A11" s="6" t="s">
        <v>5</v>
      </c>
      <c r="B11" s="6" t="s">
        <v>97</v>
      </c>
      <c r="C11" s="6" t="s">
        <v>109</v>
      </c>
      <c r="D11" s="20" t="s">
        <v>92</v>
      </c>
      <c r="E11" s="20" t="s">
        <v>40</v>
      </c>
      <c r="F11" s="20" t="s">
        <v>92</v>
      </c>
      <c r="G11" s="13">
        <v>375</v>
      </c>
      <c r="H11" s="23">
        <v>5</v>
      </c>
      <c r="I11" s="18"/>
    </row>
    <row r="12" spans="1:15">
      <c r="A12" s="6" t="s">
        <v>44</v>
      </c>
      <c r="B12" s="6" t="s">
        <v>123</v>
      </c>
      <c r="C12" s="6" t="s">
        <v>182</v>
      </c>
      <c r="D12" s="21"/>
      <c r="E12" s="21"/>
      <c r="F12" s="21"/>
      <c r="G12" s="14">
        <v>385</v>
      </c>
      <c r="H12" s="24"/>
      <c r="I12" s="18"/>
    </row>
    <row r="13" spans="1:15">
      <c r="A13" s="6" t="s">
        <v>67</v>
      </c>
      <c r="B13" s="6" t="s">
        <v>124</v>
      </c>
      <c r="C13" s="6" t="s">
        <v>183</v>
      </c>
      <c r="D13" s="22"/>
      <c r="E13" s="22"/>
      <c r="F13" s="22"/>
      <c r="G13" s="15">
        <v>395</v>
      </c>
      <c r="H13" s="25"/>
      <c r="I13" s="18"/>
    </row>
    <row r="14" spans="1:15">
      <c r="A14" s="6" t="s">
        <v>18</v>
      </c>
      <c r="B14" s="6" t="s">
        <v>98</v>
      </c>
      <c r="C14" s="6" t="s">
        <v>110</v>
      </c>
      <c r="D14" s="20" t="s">
        <v>41</v>
      </c>
      <c r="E14" s="20" t="s">
        <v>38</v>
      </c>
      <c r="F14" s="20" t="s">
        <v>41</v>
      </c>
      <c r="G14" s="16">
        <v>434</v>
      </c>
      <c r="H14" s="23">
        <v>6</v>
      </c>
      <c r="I14" s="18"/>
    </row>
    <row r="15" spans="1:15">
      <c r="A15" s="6" t="s">
        <v>45</v>
      </c>
      <c r="B15" s="6" t="s">
        <v>125</v>
      </c>
      <c r="C15" s="6" t="s">
        <v>184</v>
      </c>
      <c r="D15" s="21"/>
      <c r="E15" s="21"/>
      <c r="F15" s="21"/>
      <c r="G15" s="16">
        <v>444</v>
      </c>
      <c r="H15" s="24"/>
      <c r="I15" s="18"/>
    </row>
    <row r="16" spans="1:15">
      <c r="A16" s="6" t="s">
        <v>68</v>
      </c>
      <c r="B16" s="6" t="s">
        <v>126</v>
      </c>
      <c r="C16" s="6" t="s">
        <v>185</v>
      </c>
      <c r="D16" s="22"/>
      <c r="E16" s="22"/>
      <c r="F16" s="22"/>
      <c r="G16" s="16">
        <v>454</v>
      </c>
      <c r="H16" s="25"/>
      <c r="I16" s="18"/>
    </row>
    <row r="17" spans="1:9">
      <c r="A17" s="6" t="s">
        <v>19</v>
      </c>
      <c r="B17" s="6" t="s">
        <v>99</v>
      </c>
      <c r="C17" s="6" t="s">
        <v>111</v>
      </c>
      <c r="D17" s="20" t="s">
        <v>42</v>
      </c>
      <c r="E17" s="20" t="s">
        <v>38</v>
      </c>
      <c r="F17" s="20" t="s">
        <v>42</v>
      </c>
      <c r="G17" s="16">
        <v>474</v>
      </c>
      <c r="H17" s="23">
        <v>7</v>
      </c>
      <c r="I17" s="18"/>
    </row>
    <row r="18" spans="1:9">
      <c r="A18" s="6" t="s">
        <v>46</v>
      </c>
      <c r="B18" s="6" t="s">
        <v>127</v>
      </c>
      <c r="C18" s="6" t="s">
        <v>186</v>
      </c>
      <c r="D18" s="21"/>
      <c r="E18" s="21"/>
      <c r="F18" s="21"/>
      <c r="G18" s="16">
        <v>484</v>
      </c>
      <c r="H18" s="24"/>
      <c r="I18" s="18"/>
    </row>
    <row r="19" spans="1:9">
      <c r="A19" s="6" t="s">
        <v>69</v>
      </c>
      <c r="B19" s="6" t="s">
        <v>128</v>
      </c>
      <c r="C19" s="6" t="s">
        <v>187</v>
      </c>
      <c r="D19" s="22"/>
      <c r="E19" s="22"/>
      <c r="F19" s="22"/>
      <c r="G19" s="16">
        <v>494</v>
      </c>
      <c r="H19" s="25"/>
      <c r="I19" s="18"/>
    </row>
    <row r="20" spans="1:9">
      <c r="A20" s="6" t="s">
        <v>20</v>
      </c>
      <c r="B20" s="6" t="s">
        <v>100</v>
      </c>
      <c r="C20" s="6" t="s">
        <v>112</v>
      </c>
      <c r="D20" s="20" t="s">
        <v>37</v>
      </c>
      <c r="E20" s="20" t="s">
        <v>38</v>
      </c>
      <c r="F20" s="20" t="s">
        <v>37</v>
      </c>
      <c r="G20" s="16">
        <v>514</v>
      </c>
      <c r="H20" s="23">
        <v>8</v>
      </c>
      <c r="I20" s="18"/>
    </row>
    <row r="21" spans="1:9">
      <c r="A21" s="6" t="s">
        <v>47</v>
      </c>
      <c r="B21" s="6" t="s">
        <v>129</v>
      </c>
      <c r="C21" s="6" t="s">
        <v>188</v>
      </c>
      <c r="D21" s="21"/>
      <c r="E21" s="21"/>
      <c r="F21" s="21"/>
      <c r="G21" s="16">
        <v>524</v>
      </c>
      <c r="H21" s="24"/>
      <c r="I21" s="18"/>
    </row>
    <row r="22" spans="1:9">
      <c r="A22" s="6" t="s">
        <v>70</v>
      </c>
      <c r="B22" s="6" t="s">
        <v>130</v>
      </c>
      <c r="C22" s="6" t="s">
        <v>189</v>
      </c>
      <c r="D22" s="22"/>
      <c r="E22" s="22"/>
      <c r="F22" s="22"/>
      <c r="G22" s="16">
        <v>534</v>
      </c>
      <c r="H22" s="25"/>
      <c r="I22" s="18"/>
    </row>
    <row r="23" spans="1:9">
      <c r="A23" s="6" t="s">
        <v>21</v>
      </c>
      <c r="B23" s="6" t="s">
        <v>101</v>
      </c>
      <c r="C23" s="6" t="s">
        <v>113</v>
      </c>
      <c r="D23" s="26" t="s">
        <v>37</v>
      </c>
      <c r="E23" s="20" t="s">
        <v>93</v>
      </c>
      <c r="F23" s="20" t="s">
        <v>37</v>
      </c>
      <c r="G23" s="16">
        <v>540</v>
      </c>
      <c r="H23" s="23">
        <v>9</v>
      </c>
      <c r="I23" s="18"/>
    </row>
    <row r="24" spans="1:9">
      <c r="A24" s="6" t="s">
        <v>48</v>
      </c>
      <c r="B24" s="6" t="s">
        <v>131</v>
      </c>
      <c r="C24" s="6" t="s">
        <v>190</v>
      </c>
      <c r="D24" s="27"/>
      <c r="E24" s="21"/>
      <c r="F24" s="21"/>
      <c r="G24" s="16">
        <v>550</v>
      </c>
      <c r="H24" s="24"/>
      <c r="I24" s="18"/>
    </row>
    <row r="25" spans="1:9">
      <c r="A25" s="6" t="s">
        <v>71</v>
      </c>
      <c r="B25" s="6" t="s">
        <v>132</v>
      </c>
      <c r="C25" s="6" t="s">
        <v>191</v>
      </c>
      <c r="D25" s="28"/>
      <c r="E25" s="22"/>
      <c r="F25" s="22"/>
      <c r="G25" s="16">
        <v>560</v>
      </c>
      <c r="H25" s="25"/>
      <c r="I25" s="18"/>
    </row>
    <row r="26" spans="1:9">
      <c r="A26" s="6" t="s">
        <v>22</v>
      </c>
      <c r="B26" s="6" t="s">
        <v>102</v>
      </c>
      <c r="C26" s="6" t="s">
        <v>114</v>
      </c>
      <c r="D26" s="20" t="s">
        <v>39</v>
      </c>
      <c r="E26" s="20" t="s">
        <v>35</v>
      </c>
      <c r="F26" s="20" t="s">
        <v>36</v>
      </c>
      <c r="G26" s="16">
        <v>355</v>
      </c>
      <c r="H26" s="23">
        <v>4</v>
      </c>
      <c r="I26" s="18"/>
    </row>
    <row r="27" spans="1:9">
      <c r="A27" s="6" t="s">
        <v>49</v>
      </c>
      <c r="B27" s="6" t="s">
        <v>133</v>
      </c>
      <c r="C27" s="6" t="s">
        <v>192</v>
      </c>
      <c r="D27" s="21"/>
      <c r="E27" s="21"/>
      <c r="F27" s="21"/>
      <c r="G27" s="16">
        <v>365</v>
      </c>
      <c r="H27" s="24"/>
      <c r="I27" s="18"/>
    </row>
    <row r="28" spans="1:9">
      <c r="A28" s="6" t="s">
        <v>72</v>
      </c>
      <c r="B28" s="6" t="s">
        <v>134</v>
      </c>
      <c r="C28" s="6" t="s">
        <v>193</v>
      </c>
      <c r="D28" s="22"/>
      <c r="E28" s="22"/>
      <c r="F28" s="22"/>
      <c r="G28" s="16">
        <v>375</v>
      </c>
      <c r="H28" s="25"/>
      <c r="I28" s="18"/>
    </row>
    <row r="29" spans="1:9">
      <c r="A29" s="6" t="s">
        <v>2</v>
      </c>
      <c r="B29" s="6" t="s">
        <v>103</v>
      </c>
      <c r="C29" s="6" t="s">
        <v>115</v>
      </c>
      <c r="D29" s="20" t="s">
        <v>39</v>
      </c>
      <c r="E29" s="26" t="s">
        <v>40</v>
      </c>
      <c r="F29" s="20" t="s">
        <v>41</v>
      </c>
      <c r="G29" s="16">
        <v>395</v>
      </c>
      <c r="H29" s="23">
        <v>5</v>
      </c>
      <c r="I29" s="18"/>
    </row>
    <row r="30" spans="1:9">
      <c r="A30" s="6" t="s">
        <v>50</v>
      </c>
      <c r="B30" s="6" t="s">
        <v>135</v>
      </c>
      <c r="C30" s="6" t="s">
        <v>194</v>
      </c>
      <c r="D30" s="21"/>
      <c r="E30" s="27"/>
      <c r="F30" s="21"/>
      <c r="G30" s="16">
        <v>405</v>
      </c>
      <c r="H30" s="24"/>
      <c r="I30" s="18"/>
    </row>
    <row r="31" spans="1:9">
      <c r="A31" s="6" t="s">
        <v>73</v>
      </c>
      <c r="B31" s="6" t="s">
        <v>136</v>
      </c>
      <c r="C31" s="6" t="s">
        <v>195</v>
      </c>
      <c r="D31" s="22"/>
      <c r="E31" s="28"/>
      <c r="F31" s="22"/>
      <c r="G31" s="16">
        <v>415</v>
      </c>
      <c r="H31" s="25"/>
      <c r="I31" s="18"/>
    </row>
    <row r="32" spans="1:9">
      <c r="A32" s="6" t="s">
        <v>23</v>
      </c>
      <c r="B32" s="6" t="s">
        <v>104</v>
      </c>
      <c r="C32" s="6" t="s">
        <v>116</v>
      </c>
      <c r="D32" s="20" t="s">
        <v>39</v>
      </c>
      <c r="E32" s="20" t="s">
        <v>40</v>
      </c>
      <c r="F32" s="20" t="s">
        <v>37</v>
      </c>
      <c r="G32" s="16">
        <v>435</v>
      </c>
      <c r="H32" s="23">
        <v>6</v>
      </c>
      <c r="I32" s="18"/>
    </row>
    <row r="33" spans="1:9">
      <c r="A33" s="6" t="s">
        <v>51</v>
      </c>
      <c r="B33" s="6" t="s">
        <v>137</v>
      </c>
      <c r="C33" s="6" t="s">
        <v>196</v>
      </c>
      <c r="D33" s="21"/>
      <c r="E33" s="21"/>
      <c r="F33" s="21"/>
      <c r="G33" s="16">
        <v>445</v>
      </c>
      <c r="H33" s="24"/>
      <c r="I33" s="18"/>
    </row>
    <row r="34" spans="1:9">
      <c r="A34" s="6" t="s">
        <v>74</v>
      </c>
      <c r="B34" s="6" t="s">
        <v>138</v>
      </c>
      <c r="C34" s="6" t="s">
        <v>197</v>
      </c>
      <c r="D34" s="22"/>
      <c r="E34" s="22"/>
      <c r="F34" s="22"/>
      <c r="G34" s="16">
        <v>455</v>
      </c>
      <c r="H34" s="25"/>
      <c r="I34" s="18"/>
    </row>
  </sheetData>
  <mergeCells count="38">
    <mergeCell ref="A2:H2"/>
    <mergeCell ref="D20:D22"/>
    <mergeCell ref="D17:D19"/>
    <mergeCell ref="D14:D16"/>
    <mergeCell ref="A4:H4"/>
    <mergeCell ref="F20:F22"/>
    <mergeCell ref="F17:F19"/>
    <mergeCell ref="F14:F16"/>
    <mergeCell ref="E14:E16"/>
    <mergeCell ref="E17:E19"/>
    <mergeCell ref="E20:E22"/>
    <mergeCell ref="D11:D13"/>
    <mergeCell ref="E11:E13"/>
    <mergeCell ref="D8:D10"/>
    <mergeCell ref="E8:E10"/>
    <mergeCell ref="E23:E25"/>
    <mergeCell ref="E26:E28"/>
    <mergeCell ref="E29:E31"/>
    <mergeCell ref="E32:E34"/>
    <mergeCell ref="D32:D34"/>
    <mergeCell ref="D29:D31"/>
    <mergeCell ref="D26:D28"/>
    <mergeCell ref="D23:D25"/>
    <mergeCell ref="H29:H31"/>
    <mergeCell ref="H32:H34"/>
    <mergeCell ref="F32:F34"/>
    <mergeCell ref="F29:F31"/>
    <mergeCell ref="F26:F28"/>
    <mergeCell ref="H26:H28"/>
    <mergeCell ref="F23:F25"/>
    <mergeCell ref="H8:H10"/>
    <mergeCell ref="H14:H16"/>
    <mergeCell ref="H17:H19"/>
    <mergeCell ref="H20:H22"/>
    <mergeCell ref="H23:H25"/>
    <mergeCell ref="F11:F13"/>
    <mergeCell ref="H11:H13"/>
    <mergeCell ref="F8:F10"/>
  </mergeCells>
  <pageMargins left="0.39370078740157483" right="0.39370078740157483" top="0.78740157480314965" bottom="0.78740157480314965" header="0.31496062992125984" footer="0.31496062992125984"/>
  <pageSetup paperSize="9" scale="12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34"/>
  <sheetViews>
    <sheetView topLeftCell="A2" workbookViewId="0">
      <selection activeCell="A2" sqref="A2:H2"/>
    </sheetView>
  </sheetViews>
  <sheetFormatPr defaultRowHeight="15"/>
  <cols>
    <col min="1" max="1" width="8.7109375" customWidth="1"/>
    <col min="2" max="2" width="8.7109375" style="5" customWidth="1"/>
    <col min="3" max="3" width="16.7109375" style="5" customWidth="1"/>
    <col min="4" max="10" width="8.7109375" style="5" customWidth="1"/>
    <col min="11" max="11" width="8.7109375" customWidth="1"/>
    <col min="12" max="12" width="14.7109375" customWidth="1"/>
    <col min="13" max="17" width="8.7109375" customWidth="1"/>
  </cols>
  <sheetData>
    <row r="2" spans="1:15" ht="26.25">
      <c r="A2" s="29" t="s">
        <v>217</v>
      </c>
      <c r="B2" s="29"/>
      <c r="C2" s="29"/>
      <c r="D2" s="29"/>
      <c r="E2" s="29"/>
      <c r="F2" s="29"/>
      <c r="G2" s="29"/>
      <c r="H2" s="29"/>
      <c r="I2" s="19"/>
      <c r="J2" s="19"/>
      <c r="K2" s="19"/>
      <c r="L2" s="19"/>
      <c r="M2" s="19"/>
      <c r="N2" s="19"/>
      <c r="O2" s="19"/>
    </row>
    <row r="4" spans="1:15" ht="21">
      <c r="A4" s="30" t="s">
        <v>142</v>
      </c>
      <c r="B4" s="30"/>
      <c r="C4" s="30"/>
      <c r="D4" s="30"/>
      <c r="E4" s="30"/>
      <c r="F4" s="30"/>
      <c r="G4" s="30"/>
      <c r="H4" s="30"/>
    </row>
    <row r="5" spans="1:15">
      <c r="A5" s="5"/>
      <c r="B5"/>
      <c r="C5"/>
      <c r="D5"/>
      <c r="E5"/>
      <c r="F5"/>
      <c r="G5"/>
      <c r="H5"/>
    </row>
    <row r="6" spans="1:15">
      <c r="A6" s="7" t="s">
        <v>16</v>
      </c>
      <c r="B6" s="7" t="s">
        <v>94</v>
      </c>
      <c r="C6" s="7" t="s">
        <v>106</v>
      </c>
      <c r="D6" s="7" t="s">
        <v>6</v>
      </c>
      <c r="E6" s="7" t="s">
        <v>7</v>
      </c>
      <c r="F6" s="7" t="s">
        <v>6</v>
      </c>
      <c r="G6" s="7" t="s">
        <v>14</v>
      </c>
      <c r="H6" s="7" t="s">
        <v>105</v>
      </c>
    </row>
    <row r="7" spans="1:15">
      <c r="A7" s="6" t="s">
        <v>3</v>
      </c>
      <c r="B7" s="6" t="s">
        <v>143</v>
      </c>
      <c r="C7" s="6" t="s">
        <v>117</v>
      </c>
      <c r="D7" s="16" t="s">
        <v>34</v>
      </c>
      <c r="E7" s="16" t="s">
        <v>35</v>
      </c>
      <c r="F7" s="16" t="s">
        <v>34</v>
      </c>
      <c r="G7" s="16">
        <v>345</v>
      </c>
      <c r="H7" s="16">
        <v>2.5</v>
      </c>
    </row>
    <row r="8" spans="1:15">
      <c r="A8" s="6" t="s">
        <v>24</v>
      </c>
      <c r="B8" s="6" t="s">
        <v>144</v>
      </c>
      <c r="C8" s="6" t="s">
        <v>168</v>
      </c>
      <c r="D8" s="20" t="s">
        <v>36</v>
      </c>
      <c r="E8" s="20" t="s">
        <v>35</v>
      </c>
      <c r="F8" s="20" t="s">
        <v>36</v>
      </c>
      <c r="G8" s="13">
        <v>345</v>
      </c>
      <c r="H8" s="23">
        <v>4</v>
      </c>
    </row>
    <row r="9" spans="1:15">
      <c r="A9" s="6" t="s">
        <v>52</v>
      </c>
      <c r="B9" s="6" t="s">
        <v>145</v>
      </c>
      <c r="C9" s="6" t="s">
        <v>198</v>
      </c>
      <c r="D9" s="21"/>
      <c r="E9" s="21"/>
      <c r="F9" s="21"/>
      <c r="G9" s="14">
        <v>355</v>
      </c>
      <c r="H9" s="24"/>
    </row>
    <row r="10" spans="1:15">
      <c r="A10" s="6" t="s">
        <v>75</v>
      </c>
      <c r="B10" s="6" t="s">
        <v>146</v>
      </c>
      <c r="C10" s="6" t="s">
        <v>199</v>
      </c>
      <c r="D10" s="22"/>
      <c r="E10" s="22"/>
      <c r="F10" s="22"/>
      <c r="G10" s="15">
        <v>365</v>
      </c>
      <c r="H10" s="25"/>
    </row>
    <row r="11" spans="1:15">
      <c r="A11" s="6" t="s">
        <v>1</v>
      </c>
      <c r="B11" s="6" t="s">
        <v>147</v>
      </c>
      <c r="C11" s="6" t="s">
        <v>169</v>
      </c>
      <c r="D11" s="20" t="s">
        <v>92</v>
      </c>
      <c r="E11" s="20" t="s">
        <v>40</v>
      </c>
      <c r="F11" s="20" t="s">
        <v>92</v>
      </c>
      <c r="G11" s="13">
        <v>386</v>
      </c>
      <c r="H11" s="23">
        <v>5</v>
      </c>
    </row>
    <row r="12" spans="1:15">
      <c r="A12" s="6" t="s">
        <v>53</v>
      </c>
      <c r="B12" s="6" t="s">
        <v>148</v>
      </c>
      <c r="C12" s="6" t="s">
        <v>200</v>
      </c>
      <c r="D12" s="21"/>
      <c r="E12" s="21"/>
      <c r="F12" s="21"/>
      <c r="G12" s="14">
        <v>396</v>
      </c>
      <c r="H12" s="24"/>
    </row>
    <row r="13" spans="1:15">
      <c r="A13" s="6" t="s">
        <v>76</v>
      </c>
      <c r="B13" s="6" t="s">
        <v>149</v>
      </c>
      <c r="C13" s="6" t="s">
        <v>201</v>
      </c>
      <c r="D13" s="22"/>
      <c r="E13" s="22"/>
      <c r="F13" s="22"/>
      <c r="G13" s="15">
        <v>406</v>
      </c>
      <c r="H13" s="25"/>
    </row>
    <row r="14" spans="1:15">
      <c r="A14" s="6" t="s">
        <v>25</v>
      </c>
      <c r="B14" s="6" t="s">
        <v>150</v>
      </c>
      <c r="C14" s="6" t="s">
        <v>170</v>
      </c>
      <c r="D14" s="20" t="s">
        <v>41</v>
      </c>
      <c r="E14" s="20" t="s">
        <v>38</v>
      </c>
      <c r="F14" s="20" t="s">
        <v>41</v>
      </c>
      <c r="G14" s="16">
        <v>448</v>
      </c>
      <c r="H14" s="23">
        <v>6</v>
      </c>
    </row>
    <row r="15" spans="1:15">
      <c r="A15" s="6" t="s">
        <v>54</v>
      </c>
      <c r="B15" s="6" t="s">
        <v>151</v>
      </c>
      <c r="C15" s="6" t="s">
        <v>202</v>
      </c>
      <c r="D15" s="21"/>
      <c r="E15" s="21"/>
      <c r="F15" s="21"/>
      <c r="G15" s="16">
        <v>458</v>
      </c>
      <c r="H15" s="24"/>
    </row>
    <row r="16" spans="1:15">
      <c r="A16" s="6" t="s">
        <v>77</v>
      </c>
      <c r="B16" s="6" t="s">
        <v>152</v>
      </c>
      <c r="C16" s="6" t="s">
        <v>203</v>
      </c>
      <c r="D16" s="22"/>
      <c r="E16" s="22"/>
      <c r="F16" s="22"/>
      <c r="G16" s="16">
        <v>468</v>
      </c>
      <c r="H16" s="25"/>
    </row>
    <row r="17" spans="1:8">
      <c r="A17" s="6" t="s">
        <v>26</v>
      </c>
      <c r="B17" s="6" t="s">
        <v>153</v>
      </c>
      <c r="C17" s="6" t="s">
        <v>171</v>
      </c>
      <c r="D17" s="20" t="s">
        <v>42</v>
      </c>
      <c r="E17" s="20" t="s">
        <v>38</v>
      </c>
      <c r="F17" s="20" t="s">
        <v>42</v>
      </c>
      <c r="G17" s="16">
        <v>488</v>
      </c>
      <c r="H17" s="23">
        <v>7</v>
      </c>
    </row>
    <row r="18" spans="1:8">
      <c r="A18" s="6" t="s">
        <v>55</v>
      </c>
      <c r="B18" s="6" t="s">
        <v>154</v>
      </c>
      <c r="C18" s="6" t="s">
        <v>204</v>
      </c>
      <c r="D18" s="21"/>
      <c r="E18" s="21"/>
      <c r="F18" s="21"/>
      <c r="G18" s="16">
        <v>498</v>
      </c>
      <c r="H18" s="24"/>
    </row>
    <row r="19" spans="1:8">
      <c r="A19" s="6" t="s">
        <v>78</v>
      </c>
      <c r="B19" s="6" t="s">
        <v>155</v>
      </c>
      <c r="C19" s="6" t="s">
        <v>205</v>
      </c>
      <c r="D19" s="22"/>
      <c r="E19" s="22"/>
      <c r="F19" s="22"/>
      <c r="G19" s="16">
        <v>508</v>
      </c>
      <c r="H19" s="25"/>
    </row>
    <row r="20" spans="1:8">
      <c r="A20" s="6" t="s">
        <v>27</v>
      </c>
      <c r="B20" s="6" t="s">
        <v>156</v>
      </c>
      <c r="C20" s="6" t="s">
        <v>172</v>
      </c>
      <c r="D20" s="20" t="s">
        <v>37</v>
      </c>
      <c r="E20" s="20" t="s">
        <v>38</v>
      </c>
      <c r="F20" s="20" t="s">
        <v>37</v>
      </c>
      <c r="G20" s="16">
        <v>528</v>
      </c>
      <c r="H20" s="23">
        <v>8</v>
      </c>
    </row>
    <row r="21" spans="1:8">
      <c r="A21" s="6" t="s">
        <v>56</v>
      </c>
      <c r="B21" s="6" t="s">
        <v>157</v>
      </c>
      <c r="C21" s="6" t="s">
        <v>206</v>
      </c>
      <c r="D21" s="21"/>
      <c r="E21" s="21"/>
      <c r="F21" s="21"/>
      <c r="G21" s="16">
        <v>538</v>
      </c>
      <c r="H21" s="24"/>
    </row>
    <row r="22" spans="1:8">
      <c r="A22" s="6" t="s">
        <v>79</v>
      </c>
      <c r="B22" s="6" t="s">
        <v>158</v>
      </c>
      <c r="C22" s="6" t="s">
        <v>207</v>
      </c>
      <c r="D22" s="22"/>
      <c r="E22" s="22"/>
      <c r="F22" s="22"/>
      <c r="G22" s="16">
        <v>548</v>
      </c>
      <c r="H22" s="25"/>
    </row>
    <row r="23" spans="1:8">
      <c r="A23" s="6" t="s">
        <v>28</v>
      </c>
      <c r="B23" s="6" t="s">
        <v>159</v>
      </c>
      <c r="C23" s="6" t="s">
        <v>173</v>
      </c>
      <c r="D23" s="26" t="s">
        <v>37</v>
      </c>
      <c r="E23" s="20" t="s">
        <v>93</v>
      </c>
      <c r="F23" s="20" t="s">
        <v>37</v>
      </c>
      <c r="G23" s="16">
        <v>556</v>
      </c>
      <c r="H23" s="23">
        <v>9</v>
      </c>
    </row>
    <row r="24" spans="1:8">
      <c r="A24" s="6" t="s">
        <v>57</v>
      </c>
      <c r="B24" s="6" t="s">
        <v>160</v>
      </c>
      <c r="C24" s="6" t="s">
        <v>208</v>
      </c>
      <c r="D24" s="27"/>
      <c r="E24" s="21"/>
      <c r="F24" s="21"/>
      <c r="G24" s="16">
        <v>566</v>
      </c>
      <c r="H24" s="24"/>
    </row>
    <row r="25" spans="1:8">
      <c r="A25" s="6" t="s">
        <v>80</v>
      </c>
      <c r="B25" s="6" t="s">
        <v>161</v>
      </c>
      <c r="C25" s="6" t="s">
        <v>209</v>
      </c>
      <c r="D25" s="28"/>
      <c r="E25" s="22"/>
      <c r="F25" s="22"/>
      <c r="G25" s="16">
        <v>576</v>
      </c>
      <c r="H25" s="25"/>
    </row>
    <row r="26" spans="1:8">
      <c r="A26" s="6" t="s">
        <v>29</v>
      </c>
      <c r="B26" s="6" t="s">
        <v>162</v>
      </c>
      <c r="C26" s="6" t="s">
        <v>174</v>
      </c>
      <c r="D26" s="20" t="s">
        <v>39</v>
      </c>
      <c r="E26" s="20" t="s">
        <v>35</v>
      </c>
      <c r="F26" s="20" t="s">
        <v>36</v>
      </c>
      <c r="G26" s="16">
        <v>365</v>
      </c>
      <c r="H26" s="23">
        <v>4</v>
      </c>
    </row>
    <row r="27" spans="1:8">
      <c r="A27" s="6" t="s">
        <v>58</v>
      </c>
      <c r="B27" s="6" t="s">
        <v>163</v>
      </c>
      <c r="C27" s="6" t="s">
        <v>210</v>
      </c>
      <c r="D27" s="21"/>
      <c r="E27" s="21"/>
      <c r="F27" s="21"/>
      <c r="G27" s="16">
        <v>375</v>
      </c>
      <c r="H27" s="24"/>
    </row>
    <row r="28" spans="1:8">
      <c r="A28" s="6" t="s">
        <v>81</v>
      </c>
      <c r="B28" s="6" t="s">
        <v>175</v>
      </c>
      <c r="C28" s="6" t="s">
        <v>211</v>
      </c>
      <c r="D28" s="22"/>
      <c r="E28" s="22"/>
      <c r="F28" s="22"/>
      <c r="G28" s="16">
        <v>385</v>
      </c>
      <c r="H28" s="25"/>
    </row>
    <row r="29" spans="1:8">
      <c r="A29" s="6" t="s">
        <v>0</v>
      </c>
      <c r="B29" s="6" t="s">
        <v>164</v>
      </c>
      <c r="C29" s="6" t="s">
        <v>176</v>
      </c>
      <c r="D29" s="20" t="s">
        <v>39</v>
      </c>
      <c r="E29" s="26" t="s">
        <v>40</v>
      </c>
      <c r="F29" s="20" t="s">
        <v>41</v>
      </c>
      <c r="G29" s="16">
        <v>406</v>
      </c>
      <c r="H29" s="23">
        <v>5</v>
      </c>
    </row>
    <row r="30" spans="1:8">
      <c r="A30" s="6" t="s">
        <v>59</v>
      </c>
      <c r="B30" s="6" t="s">
        <v>179</v>
      </c>
      <c r="C30" s="6" t="s">
        <v>212</v>
      </c>
      <c r="D30" s="21"/>
      <c r="E30" s="27"/>
      <c r="F30" s="21"/>
      <c r="G30" s="16">
        <v>416</v>
      </c>
      <c r="H30" s="24"/>
    </row>
    <row r="31" spans="1:8">
      <c r="A31" s="6" t="s">
        <v>82</v>
      </c>
      <c r="B31" s="6" t="s">
        <v>178</v>
      </c>
      <c r="C31" s="6" t="s">
        <v>213</v>
      </c>
      <c r="D31" s="22"/>
      <c r="E31" s="28"/>
      <c r="F31" s="22"/>
      <c r="G31" s="16">
        <v>426</v>
      </c>
      <c r="H31" s="25"/>
    </row>
    <row r="32" spans="1:8">
      <c r="A32" s="6" t="s">
        <v>30</v>
      </c>
      <c r="B32" s="6" t="s">
        <v>165</v>
      </c>
      <c r="C32" s="6" t="s">
        <v>177</v>
      </c>
      <c r="D32" s="20" t="s">
        <v>39</v>
      </c>
      <c r="E32" s="20" t="s">
        <v>40</v>
      </c>
      <c r="F32" s="20" t="s">
        <v>37</v>
      </c>
      <c r="G32" s="16">
        <v>446</v>
      </c>
      <c r="H32" s="23">
        <v>6</v>
      </c>
    </row>
    <row r="33" spans="1:8">
      <c r="A33" s="6" t="s">
        <v>60</v>
      </c>
      <c r="B33" s="6" t="s">
        <v>166</v>
      </c>
      <c r="C33" s="6" t="s">
        <v>214</v>
      </c>
      <c r="D33" s="21"/>
      <c r="E33" s="21"/>
      <c r="F33" s="21"/>
      <c r="G33" s="16">
        <v>456</v>
      </c>
      <c r="H33" s="24"/>
    </row>
    <row r="34" spans="1:8">
      <c r="A34" s="6" t="s">
        <v>83</v>
      </c>
      <c r="B34" s="6" t="s">
        <v>167</v>
      </c>
      <c r="C34" s="6" t="s">
        <v>215</v>
      </c>
      <c r="D34" s="22"/>
      <c r="E34" s="22"/>
      <c r="F34" s="22"/>
      <c r="G34" s="16">
        <v>466</v>
      </c>
      <c r="H34" s="25"/>
    </row>
  </sheetData>
  <mergeCells count="38">
    <mergeCell ref="D32:D34"/>
    <mergeCell ref="E32:E34"/>
    <mergeCell ref="F32:F34"/>
    <mergeCell ref="H32:H34"/>
    <mergeCell ref="D26:D28"/>
    <mergeCell ref="E26:E28"/>
    <mergeCell ref="F26:F28"/>
    <mergeCell ref="H26:H28"/>
    <mergeCell ref="D29:D31"/>
    <mergeCell ref="E29:E31"/>
    <mergeCell ref="F29:F31"/>
    <mergeCell ref="H29:H31"/>
    <mergeCell ref="D20:D22"/>
    <mergeCell ref="E20:E22"/>
    <mergeCell ref="F20:F22"/>
    <mergeCell ref="H20:H22"/>
    <mergeCell ref="D23:D25"/>
    <mergeCell ref="E23:E25"/>
    <mergeCell ref="F23:F25"/>
    <mergeCell ref="H23:H25"/>
    <mergeCell ref="D14:D16"/>
    <mergeCell ref="E14:E16"/>
    <mergeCell ref="F14:F16"/>
    <mergeCell ref="H14:H16"/>
    <mergeCell ref="D17:D19"/>
    <mergeCell ref="E17:E19"/>
    <mergeCell ref="F17:F19"/>
    <mergeCell ref="H17:H19"/>
    <mergeCell ref="D11:D13"/>
    <mergeCell ref="E11:E13"/>
    <mergeCell ref="F11:F13"/>
    <mergeCell ref="H11:H13"/>
    <mergeCell ref="A2:H2"/>
    <mergeCell ref="A4:H4"/>
    <mergeCell ref="D8:D10"/>
    <mergeCell ref="E8:E10"/>
    <mergeCell ref="F8:F10"/>
    <mergeCell ref="H8:H10"/>
  </mergeCells>
  <pageMargins left="0.39370078740157483" right="0.39370078740157483" top="0.78740157480314965" bottom="0.78740157480314965" header="0.31496062992125984" footer="0.31496062992125984"/>
  <pageSetup paperSize="9" scale="1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O21"/>
  <sheetViews>
    <sheetView tabSelected="1" workbookViewId="0">
      <selection activeCell="A2" sqref="A2:J2"/>
    </sheetView>
  </sheetViews>
  <sheetFormatPr defaultRowHeight="15"/>
  <cols>
    <col min="1" max="1" width="8.7109375" customWidth="1"/>
    <col min="2" max="2" width="8.7109375" style="5" customWidth="1"/>
    <col min="3" max="3" width="16.7109375" style="5" customWidth="1"/>
    <col min="4" max="10" width="8.7109375" style="5" customWidth="1"/>
    <col min="11" max="11" width="26.42578125" customWidth="1"/>
    <col min="12" max="12" width="14.7109375" customWidth="1"/>
    <col min="13" max="17" width="8.7109375" customWidth="1"/>
  </cols>
  <sheetData>
    <row r="2" spans="1:15" ht="26.25">
      <c r="A2" s="29" t="s">
        <v>217</v>
      </c>
      <c r="B2" s="29"/>
      <c r="C2" s="29"/>
      <c r="D2" s="29"/>
      <c r="E2" s="29"/>
      <c r="F2" s="29"/>
      <c r="G2" s="29"/>
      <c r="H2" s="29"/>
      <c r="I2" s="29"/>
      <c r="J2" s="29"/>
      <c r="K2" s="19"/>
      <c r="L2" s="19"/>
      <c r="M2" s="19"/>
      <c r="N2" s="19"/>
      <c r="O2" s="19"/>
    </row>
    <row r="4" spans="1:15" ht="21">
      <c r="A4" s="30" t="s">
        <v>216</v>
      </c>
      <c r="B4" s="30"/>
      <c r="C4" s="30"/>
      <c r="D4" s="30"/>
      <c r="E4" s="30"/>
      <c r="F4" s="30"/>
      <c r="G4" s="30"/>
      <c r="H4" s="30"/>
      <c r="I4" s="30"/>
      <c r="J4" s="30"/>
    </row>
    <row r="6" spans="1:15">
      <c r="A6" s="7" t="s">
        <v>16</v>
      </c>
      <c r="B6" s="7" t="s">
        <v>94</v>
      </c>
      <c r="C6" s="7" t="s">
        <v>106</v>
      </c>
      <c r="D6" s="7" t="s">
        <v>6</v>
      </c>
      <c r="E6" s="7" t="s">
        <v>7</v>
      </c>
      <c r="F6" s="7" t="s">
        <v>6</v>
      </c>
      <c r="G6" s="7" t="s">
        <v>7</v>
      </c>
      <c r="H6" s="7" t="s">
        <v>6</v>
      </c>
      <c r="I6" s="7" t="s">
        <v>14</v>
      </c>
      <c r="J6" s="7" t="s">
        <v>105</v>
      </c>
    </row>
    <row r="7" spans="1:15">
      <c r="A7" s="10" t="s">
        <v>31</v>
      </c>
      <c r="B7" s="6" t="s">
        <v>228</v>
      </c>
      <c r="C7" s="6" t="s">
        <v>118</v>
      </c>
      <c r="D7" s="20" t="s">
        <v>36</v>
      </c>
      <c r="E7" s="20" t="s">
        <v>35</v>
      </c>
      <c r="F7" s="20" t="s">
        <v>35</v>
      </c>
      <c r="G7" s="20" t="s">
        <v>35</v>
      </c>
      <c r="H7" s="20" t="s">
        <v>36</v>
      </c>
      <c r="I7" s="16">
        <v>575</v>
      </c>
      <c r="J7" s="23">
        <v>6</v>
      </c>
    </row>
    <row r="8" spans="1:15">
      <c r="A8" s="10" t="s">
        <v>61</v>
      </c>
      <c r="B8" s="6" t="s">
        <v>229</v>
      </c>
      <c r="C8" s="6" t="s">
        <v>218</v>
      </c>
      <c r="D8" s="21"/>
      <c r="E8" s="21"/>
      <c r="F8" s="21"/>
      <c r="G8" s="21"/>
      <c r="H8" s="21"/>
      <c r="I8" s="16">
        <v>585</v>
      </c>
      <c r="J8" s="24"/>
    </row>
    <row r="9" spans="1:15">
      <c r="A9" s="10" t="s">
        <v>84</v>
      </c>
      <c r="B9" s="6" t="s">
        <v>230</v>
      </c>
      <c r="C9" s="6" t="s">
        <v>219</v>
      </c>
      <c r="D9" s="22"/>
      <c r="E9" s="22"/>
      <c r="F9" s="22"/>
      <c r="G9" s="22"/>
      <c r="H9" s="22"/>
      <c r="I9" s="16">
        <v>595</v>
      </c>
      <c r="J9" s="25"/>
    </row>
    <row r="10" spans="1:15">
      <c r="A10" s="10" t="s">
        <v>9</v>
      </c>
      <c r="B10" s="6" t="s">
        <v>231</v>
      </c>
      <c r="C10" s="6" t="s">
        <v>119</v>
      </c>
      <c r="D10" s="20" t="s">
        <v>41</v>
      </c>
      <c r="E10" s="20" t="s">
        <v>40</v>
      </c>
      <c r="F10" s="20" t="s">
        <v>35</v>
      </c>
      <c r="G10" s="20" t="s">
        <v>40</v>
      </c>
      <c r="H10" s="20" t="s">
        <v>41</v>
      </c>
      <c r="I10" s="16">
        <v>656</v>
      </c>
      <c r="J10" s="23">
        <v>7</v>
      </c>
    </row>
    <row r="11" spans="1:15">
      <c r="A11" s="10" t="s">
        <v>62</v>
      </c>
      <c r="B11" s="6" t="s">
        <v>232</v>
      </c>
      <c r="C11" s="6" t="s">
        <v>220</v>
      </c>
      <c r="D11" s="21"/>
      <c r="E11" s="21"/>
      <c r="F11" s="21"/>
      <c r="G11" s="21"/>
      <c r="H11" s="21"/>
      <c r="I11" s="16">
        <v>666</v>
      </c>
      <c r="J11" s="24"/>
    </row>
    <row r="12" spans="1:15">
      <c r="A12" s="10" t="s">
        <v>85</v>
      </c>
      <c r="B12" s="6" t="s">
        <v>233</v>
      </c>
      <c r="C12" s="6" t="s">
        <v>221</v>
      </c>
      <c r="D12" s="22"/>
      <c r="E12" s="22"/>
      <c r="F12" s="22"/>
      <c r="G12" s="22"/>
      <c r="H12" s="22"/>
      <c r="I12" s="16">
        <v>676</v>
      </c>
      <c r="J12" s="25"/>
    </row>
    <row r="13" spans="1:15">
      <c r="A13" s="10" t="s">
        <v>32</v>
      </c>
      <c r="B13" s="6" t="s">
        <v>234</v>
      </c>
      <c r="C13" s="6" t="s">
        <v>120</v>
      </c>
      <c r="D13" s="20" t="s">
        <v>42</v>
      </c>
      <c r="E13" s="20" t="s">
        <v>40</v>
      </c>
      <c r="F13" s="20" t="s">
        <v>35</v>
      </c>
      <c r="G13" s="20" t="s">
        <v>40</v>
      </c>
      <c r="H13" s="20" t="s">
        <v>42</v>
      </c>
      <c r="I13" s="16">
        <v>696</v>
      </c>
      <c r="J13" s="23">
        <v>8</v>
      </c>
    </row>
    <row r="14" spans="1:15">
      <c r="A14" s="10" t="s">
        <v>63</v>
      </c>
      <c r="B14" s="6" t="s">
        <v>235</v>
      </c>
      <c r="C14" s="6" t="s">
        <v>222</v>
      </c>
      <c r="D14" s="21"/>
      <c r="E14" s="21"/>
      <c r="F14" s="21"/>
      <c r="G14" s="21"/>
      <c r="H14" s="21"/>
      <c r="I14" s="16">
        <v>706</v>
      </c>
      <c r="J14" s="24"/>
    </row>
    <row r="15" spans="1:15">
      <c r="A15" s="10" t="s">
        <v>86</v>
      </c>
      <c r="B15" s="6" t="s">
        <v>236</v>
      </c>
      <c r="C15" s="6" t="s">
        <v>223</v>
      </c>
      <c r="D15" s="22"/>
      <c r="E15" s="22"/>
      <c r="F15" s="22"/>
      <c r="G15" s="22"/>
      <c r="H15" s="22"/>
      <c r="I15" s="16">
        <v>716</v>
      </c>
      <c r="J15" s="25"/>
    </row>
    <row r="16" spans="1:15">
      <c r="A16" s="10" t="s">
        <v>33</v>
      </c>
      <c r="B16" s="6" t="s">
        <v>237</v>
      </c>
      <c r="C16" s="6" t="s">
        <v>121</v>
      </c>
      <c r="D16" s="20" t="s">
        <v>42</v>
      </c>
      <c r="E16" s="20" t="s">
        <v>38</v>
      </c>
      <c r="F16" s="20" t="s">
        <v>35</v>
      </c>
      <c r="G16" s="20" t="s">
        <v>38</v>
      </c>
      <c r="H16" s="20" t="s">
        <v>42</v>
      </c>
      <c r="I16" s="16">
        <v>777</v>
      </c>
      <c r="J16" s="23">
        <v>9</v>
      </c>
    </row>
    <row r="17" spans="1:10">
      <c r="A17" s="10" t="s">
        <v>64</v>
      </c>
      <c r="B17" s="6" t="s">
        <v>238</v>
      </c>
      <c r="C17" s="6" t="s">
        <v>224</v>
      </c>
      <c r="D17" s="21"/>
      <c r="E17" s="21"/>
      <c r="F17" s="21"/>
      <c r="G17" s="21"/>
      <c r="H17" s="21"/>
      <c r="I17" s="16">
        <v>787</v>
      </c>
      <c r="J17" s="24"/>
    </row>
    <row r="18" spans="1:10">
      <c r="A18" s="10" t="s">
        <v>87</v>
      </c>
      <c r="B18" s="6" t="s">
        <v>239</v>
      </c>
      <c r="C18" s="6" t="s">
        <v>225</v>
      </c>
      <c r="D18" s="22"/>
      <c r="E18" s="22"/>
      <c r="F18" s="22"/>
      <c r="G18" s="22"/>
      <c r="H18" s="22"/>
      <c r="I18" s="16">
        <v>797</v>
      </c>
      <c r="J18" s="25"/>
    </row>
    <row r="19" spans="1:10">
      <c r="A19" s="10" t="s">
        <v>10</v>
      </c>
      <c r="B19" s="6" t="s">
        <v>240</v>
      </c>
      <c r="C19" s="6" t="s">
        <v>122</v>
      </c>
      <c r="D19" s="20" t="s">
        <v>39</v>
      </c>
      <c r="E19" s="20" t="s">
        <v>35</v>
      </c>
      <c r="F19" s="20" t="s">
        <v>35</v>
      </c>
      <c r="G19" s="20" t="s">
        <v>35</v>
      </c>
      <c r="H19" s="20" t="s">
        <v>41</v>
      </c>
      <c r="I19" s="16">
        <v>615</v>
      </c>
      <c r="J19" s="23">
        <v>7</v>
      </c>
    </row>
    <row r="20" spans="1:10">
      <c r="A20" s="10" t="s">
        <v>65</v>
      </c>
      <c r="B20" s="6" t="s">
        <v>241</v>
      </c>
      <c r="C20" s="6" t="s">
        <v>226</v>
      </c>
      <c r="D20" s="21"/>
      <c r="E20" s="21"/>
      <c r="F20" s="21"/>
      <c r="G20" s="21"/>
      <c r="H20" s="21"/>
      <c r="I20" s="16">
        <v>625</v>
      </c>
      <c r="J20" s="24"/>
    </row>
    <row r="21" spans="1:10">
      <c r="A21" s="10" t="s">
        <v>88</v>
      </c>
      <c r="B21" s="6" t="s">
        <v>242</v>
      </c>
      <c r="C21" s="6" t="s">
        <v>227</v>
      </c>
      <c r="D21" s="22"/>
      <c r="E21" s="22"/>
      <c r="F21" s="22"/>
      <c r="G21" s="22"/>
      <c r="H21" s="22"/>
      <c r="I21" s="16">
        <v>635</v>
      </c>
      <c r="J21" s="25"/>
    </row>
  </sheetData>
  <mergeCells count="32">
    <mergeCell ref="J19:J21"/>
    <mergeCell ref="D16:D18"/>
    <mergeCell ref="E16:E18"/>
    <mergeCell ref="F16:F18"/>
    <mergeCell ref="G16:G18"/>
    <mergeCell ref="H16:H18"/>
    <mergeCell ref="J16:J18"/>
    <mergeCell ref="D19:D21"/>
    <mergeCell ref="E19:E21"/>
    <mergeCell ref="F19:F21"/>
    <mergeCell ref="G19:G21"/>
    <mergeCell ref="H19:H21"/>
    <mergeCell ref="J13:J15"/>
    <mergeCell ref="J7:J9"/>
    <mergeCell ref="D10:D12"/>
    <mergeCell ref="E10:E12"/>
    <mergeCell ref="F10:F12"/>
    <mergeCell ref="G10:G12"/>
    <mergeCell ref="H10:H12"/>
    <mergeCell ref="J10:J12"/>
    <mergeCell ref="D13:D15"/>
    <mergeCell ref="E13:E15"/>
    <mergeCell ref="F13:F15"/>
    <mergeCell ref="G13:G15"/>
    <mergeCell ref="H13:H15"/>
    <mergeCell ref="A2:J2"/>
    <mergeCell ref="A4:J4"/>
    <mergeCell ref="D7:D9"/>
    <mergeCell ref="E7:E9"/>
    <mergeCell ref="F7:F9"/>
    <mergeCell ref="G7:G9"/>
    <mergeCell ref="H7:H9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1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Q32"/>
  <sheetViews>
    <sheetView workbookViewId="0">
      <selection activeCell="B4" sqref="B4"/>
    </sheetView>
  </sheetViews>
  <sheetFormatPr defaultRowHeight="15"/>
  <cols>
    <col min="1" max="1" width="8" customWidth="1"/>
    <col min="2" max="8" width="7.28515625" style="5" customWidth="1"/>
    <col min="9" max="9" width="2.85546875" style="5" customWidth="1"/>
    <col min="10" max="21" width="7.28515625" style="5" hidden="1" customWidth="1"/>
    <col min="22" max="23" width="0" hidden="1" customWidth="1"/>
    <col min="24" max="24" width="10" hidden="1" customWidth="1"/>
    <col min="25" max="25" width="11.140625" hidden="1" customWidth="1"/>
    <col min="26" max="30" width="0" hidden="1" customWidth="1"/>
    <col min="31" max="31" width="0" style="1" hidden="1" customWidth="1"/>
    <col min="32" max="35" width="0" hidden="1" customWidth="1"/>
  </cols>
  <sheetData>
    <row r="2" spans="1:43" ht="21">
      <c r="A2" s="30" t="s">
        <v>91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</row>
    <row r="4" spans="1:43">
      <c r="A4" s="7" t="s">
        <v>16</v>
      </c>
      <c r="B4" s="7" t="s">
        <v>15</v>
      </c>
      <c r="C4" s="7" t="s">
        <v>14</v>
      </c>
      <c r="D4" s="7" t="s">
        <v>6</v>
      </c>
      <c r="E4" s="7" t="s">
        <v>7</v>
      </c>
      <c r="F4" s="7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V4" s="7" t="s">
        <v>6</v>
      </c>
      <c r="W4" s="7" t="s">
        <v>7</v>
      </c>
      <c r="X4" s="7" t="s">
        <v>8</v>
      </c>
      <c r="Y4" s="7"/>
      <c r="Z4" s="7"/>
      <c r="AA4" s="7"/>
      <c r="AB4" s="7" t="s">
        <v>6</v>
      </c>
      <c r="AC4" s="7" t="s">
        <v>7</v>
      </c>
      <c r="AD4" s="7" t="s">
        <v>6</v>
      </c>
      <c r="AE4" s="7" t="s">
        <v>12</v>
      </c>
      <c r="AF4" s="7" t="s">
        <v>11</v>
      </c>
      <c r="AG4" s="7" t="s">
        <v>13</v>
      </c>
      <c r="AH4" s="7"/>
      <c r="AI4" s="7"/>
      <c r="AJ4" s="7" t="s">
        <v>6</v>
      </c>
      <c r="AK4" s="7" t="s">
        <v>7</v>
      </c>
      <c r="AL4" s="7" t="s">
        <v>6</v>
      </c>
      <c r="AM4" s="7" t="s">
        <v>11</v>
      </c>
      <c r="AN4" s="7" t="s">
        <v>12</v>
      </c>
      <c r="AO4" s="5"/>
      <c r="AP4" s="5"/>
    </row>
    <row r="5" spans="1:43">
      <c r="A5" s="6" t="s">
        <v>4</v>
      </c>
      <c r="B5" s="6" t="s">
        <v>4</v>
      </c>
      <c r="C5" s="6">
        <v>335</v>
      </c>
      <c r="D5" s="6" t="s">
        <v>34</v>
      </c>
      <c r="E5" s="6" t="s">
        <v>35</v>
      </c>
      <c r="F5" s="6" t="s">
        <v>34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V5" s="6">
        <v>100</v>
      </c>
      <c r="W5" s="6">
        <v>95</v>
      </c>
      <c r="X5" s="6">
        <v>100</v>
      </c>
      <c r="Y5" s="6"/>
      <c r="Z5" s="6"/>
      <c r="AA5" s="6"/>
      <c r="AB5" s="6">
        <f>V5</f>
        <v>100</v>
      </c>
      <c r="AC5" s="6">
        <f>W5*1.3</f>
        <v>123.5</v>
      </c>
      <c r="AD5" s="6">
        <f>X5</f>
        <v>100</v>
      </c>
      <c r="AE5" s="7">
        <f>SUM(AB5:AD5)</f>
        <v>323.5</v>
      </c>
      <c r="AF5" s="6">
        <f t="shared" ref="AF5:AF14" si="0">C5-AE5</f>
        <v>11.5</v>
      </c>
      <c r="AG5" s="6"/>
      <c r="AH5" s="6"/>
      <c r="AI5" s="6"/>
      <c r="AJ5" s="6">
        <f t="shared" ref="AJ5:AJ14" si="1">AB5/$C5</f>
        <v>0.29850746268656714</v>
      </c>
      <c r="AK5" s="6">
        <f t="shared" ref="AK5:AK14" si="2">AC5/$C5</f>
        <v>0.36865671641791042</v>
      </c>
      <c r="AL5" s="6">
        <f t="shared" ref="AL5:AL14" si="3">AD5/$C5</f>
        <v>0.29850746268656714</v>
      </c>
      <c r="AM5" s="6">
        <f t="shared" ref="AM5:AM14" si="4">AF5/$C5</f>
        <v>3.4328358208955224E-2</v>
      </c>
      <c r="AN5" s="6">
        <f>SUM(AJ5:AM5)</f>
        <v>0.99999999999999989</v>
      </c>
      <c r="AO5" s="5"/>
      <c r="AP5" s="5"/>
    </row>
    <row r="6" spans="1:43">
      <c r="A6" s="6" t="s">
        <v>17</v>
      </c>
      <c r="B6" s="6" t="s">
        <v>5</v>
      </c>
      <c r="C6" s="6">
        <v>335</v>
      </c>
      <c r="D6" s="6" t="s">
        <v>36</v>
      </c>
      <c r="E6" s="6" t="s">
        <v>35</v>
      </c>
      <c r="F6" s="6" t="s">
        <v>36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V6" s="6">
        <v>100</v>
      </c>
      <c r="W6" s="6">
        <v>95</v>
      </c>
      <c r="X6" s="6">
        <v>100</v>
      </c>
      <c r="Y6" s="6"/>
      <c r="Z6" s="6"/>
      <c r="AA6" s="6"/>
      <c r="AB6" s="6">
        <f t="shared" ref="AB6:AB32" si="5">V6</f>
        <v>100</v>
      </c>
      <c r="AC6" s="6">
        <f t="shared" ref="AC6:AC14" si="6">W6*1.3</f>
        <v>123.5</v>
      </c>
      <c r="AD6" s="6">
        <f t="shared" ref="AD6:AD25" si="7">X6</f>
        <v>100</v>
      </c>
      <c r="AE6" s="7">
        <f t="shared" ref="AE6:AE14" si="8">SUM(AB6:AD6)</f>
        <v>323.5</v>
      </c>
      <c r="AF6" s="6">
        <f t="shared" si="0"/>
        <v>11.5</v>
      </c>
      <c r="AG6" s="6"/>
      <c r="AH6" s="6"/>
      <c r="AI6" s="6"/>
      <c r="AJ6" s="6">
        <f t="shared" si="1"/>
        <v>0.29850746268656714</v>
      </c>
      <c r="AK6" s="6">
        <f t="shared" si="2"/>
        <v>0.36865671641791042</v>
      </c>
      <c r="AL6" s="6">
        <f t="shared" si="3"/>
        <v>0.29850746268656714</v>
      </c>
      <c r="AM6" s="6">
        <f t="shared" si="4"/>
        <v>3.4328358208955224E-2</v>
      </c>
      <c r="AN6" s="6">
        <f>SUM(AJ6:AM6)</f>
        <v>0.99999999999999989</v>
      </c>
      <c r="AO6" s="5"/>
      <c r="AP6" s="5"/>
    </row>
    <row r="7" spans="1:43" hidden="1">
      <c r="A7" s="6" t="s">
        <v>5</v>
      </c>
      <c r="B7" s="6" t="s">
        <v>5</v>
      </c>
      <c r="C7" s="6">
        <v>375</v>
      </c>
      <c r="D7" s="6"/>
      <c r="E7" s="6"/>
      <c r="F7" s="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V7" s="6">
        <v>110</v>
      </c>
      <c r="W7" s="6">
        <v>110</v>
      </c>
      <c r="X7" s="6">
        <v>110</v>
      </c>
      <c r="Y7" s="6"/>
      <c r="Z7" s="6"/>
      <c r="AA7" s="6"/>
      <c r="AB7" s="6">
        <f t="shared" si="5"/>
        <v>110</v>
      </c>
      <c r="AC7" s="6">
        <f t="shared" si="6"/>
        <v>143</v>
      </c>
      <c r="AD7" s="6">
        <f t="shared" si="7"/>
        <v>110</v>
      </c>
      <c r="AE7" s="7">
        <f t="shared" si="8"/>
        <v>363</v>
      </c>
      <c r="AF7" s="6">
        <f t="shared" si="0"/>
        <v>12</v>
      </c>
      <c r="AG7" s="6"/>
      <c r="AH7" s="6"/>
      <c r="AI7" s="6"/>
      <c r="AJ7" s="6">
        <f t="shared" si="1"/>
        <v>0.29333333333333333</v>
      </c>
      <c r="AK7" s="6">
        <f t="shared" si="2"/>
        <v>0.38133333333333336</v>
      </c>
      <c r="AL7" s="6">
        <f t="shared" si="3"/>
        <v>0.29333333333333333</v>
      </c>
      <c r="AM7" s="6">
        <f t="shared" si="4"/>
        <v>3.2000000000000001E-2</v>
      </c>
      <c r="AN7" s="6">
        <f t="shared" ref="AN7:AN25" si="9">SUM(AJ7:AM7)</f>
        <v>1</v>
      </c>
      <c r="AO7" s="5"/>
      <c r="AP7" s="5"/>
    </row>
    <row r="8" spans="1:43" hidden="1">
      <c r="A8" s="6" t="s">
        <v>18</v>
      </c>
      <c r="B8" s="6" t="s">
        <v>5</v>
      </c>
      <c r="C8" s="6">
        <v>434</v>
      </c>
      <c r="D8" s="6"/>
      <c r="E8" s="6"/>
      <c r="F8" s="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V8" s="6">
        <v>120</v>
      </c>
      <c r="W8" s="6">
        <v>140</v>
      </c>
      <c r="X8" s="6">
        <v>120</v>
      </c>
      <c r="Y8" s="6"/>
      <c r="Z8" s="6"/>
      <c r="AA8" s="6"/>
      <c r="AB8" s="6">
        <f t="shared" si="5"/>
        <v>120</v>
      </c>
      <c r="AC8" s="6">
        <f t="shared" si="6"/>
        <v>182</v>
      </c>
      <c r="AD8" s="6">
        <f t="shared" si="7"/>
        <v>120</v>
      </c>
      <c r="AE8" s="7">
        <f t="shared" si="8"/>
        <v>422</v>
      </c>
      <c r="AF8" s="6">
        <f t="shared" si="0"/>
        <v>12</v>
      </c>
      <c r="AG8" s="6"/>
      <c r="AH8" s="6"/>
      <c r="AI8" s="6"/>
      <c r="AJ8" s="6">
        <f t="shared" si="1"/>
        <v>0.27649769585253459</v>
      </c>
      <c r="AK8" s="6">
        <f t="shared" si="2"/>
        <v>0.41935483870967744</v>
      </c>
      <c r="AL8" s="6">
        <f t="shared" si="3"/>
        <v>0.27649769585253459</v>
      </c>
      <c r="AM8" s="6">
        <f t="shared" si="4"/>
        <v>2.7649769585253458E-2</v>
      </c>
      <c r="AN8" s="6">
        <f t="shared" si="9"/>
        <v>1</v>
      </c>
      <c r="AO8" s="5"/>
      <c r="AP8" s="5"/>
    </row>
    <row r="9" spans="1:43" hidden="1">
      <c r="A9" s="6" t="s">
        <v>19</v>
      </c>
      <c r="B9" s="6" t="s">
        <v>5</v>
      </c>
      <c r="C9" s="6">
        <v>474</v>
      </c>
      <c r="D9" s="6"/>
      <c r="E9" s="6"/>
      <c r="F9" s="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V9" s="6">
        <v>140</v>
      </c>
      <c r="W9" s="6">
        <v>140</v>
      </c>
      <c r="X9" s="6">
        <v>140</v>
      </c>
      <c r="Y9" s="6"/>
      <c r="Z9" s="6"/>
      <c r="AA9" s="6"/>
      <c r="AB9" s="6">
        <f t="shared" si="5"/>
        <v>140</v>
      </c>
      <c r="AC9" s="6">
        <f t="shared" si="6"/>
        <v>182</v>
      </c>
      <c r="AD9" s="6">
        <f t="shared" si="7"/>
        <v>140</v>
      </c>
      <c r="AE9" s="7">
        <f t="shared" si="8"/>
        <v>462</v>
      </c>
      <c r="AF9" s="6">
        <f t="shared" si="0"/>
        <v>12</v>
      </c>
      <c r="AG9" s="6"/>
      <c r="AH9" s="6"/>
      <c r="AI9" s="6"/>
      <c r="AJ9" s="6">
        <f t="shared" si="1"/>
        <v>0.29535864978902954</v>
      </c>
      <c r="AK9" s="6">
        <f t="shared" si="2"/>
        <v>0.38396624472573837</v>
      </c>
      <c r="AL9" s="6">
        <f t="shared" si="3"/>
        <v>0.29535864978902954</v>
      </c>
      <c r="AM9" s="6">
        <f t="shared" si="4"/>
        <v>2.5316455696202531E-2</v>
      </c>
      <c r="AN9" s="6">
        <f t="shared" si="9"/>
        <v>0.99999999999999989</v>
      </c>
      <c r="AO9" s="5"/>
      <c r="AP9" s="5"/>
    </row>
    <row r="10" spans="1:43">
      <c r="A10" s="6" t="s">
        <v>20</v>
      </c>
      <c r="B10" s="6" t="s">
        <v>5</v>
      </c>
      <c r="C10" s="6">
        <v>514</v>
      </c>
      <c r="D10" s="6" t="s">
        <v>37</v>
      </c>
      <c r="E10" s="6" t="s">
        <v>38</v>
      </c>
      <c r="F10" s="6" t="s">
        <v>37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V10" s="6">
        <v>160</v>
      </c>
      <c r="W10" s="6">
        <v>140</v>
      </c>
      <c r="X10" s="6">
        <v>160</v>
      </c>
      <c r="Y10" s="6"/>
      <c r="Z10" s="6"/>
      <c r="AA10" s="6"/>
      <c r="AB10" s="6">
        <f t="shared" si="5"/>
        <v>160</v>
      </c>
      <c r="AC10" s="6">
        <f t="shared" si="6"/>
        <v>182</v>
      </c>
      <c r="AD10" s="6">
        <f t="shared" si="7"/>
        <v>160</v>
      </c>
      <c r="AE10" s="7">
        <f t="shared" si="8"/>
        <v>502</v>
      </c>
      <c r="AF10" s="6">
        <f t="shared" si="0"/>
        <v>12</v>
      </c>
      <c r="AG10" s="6"/>
      <c r="AH10" s="6"/>
      <c r="AI10" s="6"/>
      <c r="AJ10" s="6">
        <f t="shared" si="1"/>
        <v>0.31128404669260701</v>
      </c>
      <c r="AK10" s="6">
        <f t="shared" si="2"/>
        <v>0.35408560311284049</v>
      </c>
      <c r="AL10" s="6">
        <f t="shared" si="3"/>
        <v>0.31128404669260701</v>
      </c>
      <c r="AM10" s="6">
        <f t="shared" si="4"/>
        <v>2.3346303501945526E-2</v>
      </c>
      <c r="AN10" s="6">
        <f t="shared" si="9"/>
        <v>1</v>
      </c>
      <c r="AO10" s="5"/>
      <c r="AP10" s="5"/>
    </row>
    <row r="11" spans="1:43" hidden="1">
      <c r="A11" s="6" t="s">
        <v>21</v>
      </c>
      <c r="B11" s="6" t="s">
        <v>5</v>
      </c>
      <c r="C11" s="6">
        <v>540</v>
      </c>
      <c r="D11" s="6"/>
      <c r="E11" s="6"/>
      <c r="F11" s="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V11" s="6">
        <v>160</v>
      </c>
      <c r="W11" s="6">
        <v>160</v>
      </c>
      <c r="X11" s="6">
        <v>160</v>
      </c>
      <c r="Y11" s="6"/>
      <c r="Z11" s="6"/>
      <c r="AA11" s="6"/>
      <c r="AB11" s="6">
        <f t="shared" si="5"/>
        <v>160</v>
      </c>
      <c r="AC11" s="6">
        <f t="shared" si="6"/>
        <v>208</v>
      </c>
      <c r="AD11" s="6">
        <f t="shared" si="7"/>
        <v>160</v>
      </c>
      <c r="AE11" s="7">
        <f t="shared" si="8"/>
        <v>528</v>
      </c>
      <c r="AF11" s="6">
        <f t="shared" si="0"/>
        <v>12</v>
      </c>
      <c r="AG11" s="6"/>
      <c r="AH11" s="6"/>
      <c r="AI11" s="6"/>
      <c r="AJ11" s="6">
        <f t="shared" si="1"/>
        <v>0.29629629629629628</v>
      </c>
      <c r="AK11" s="6">
        <f t="shared" si="2"/>
        <v>0.38518518518518519</v>
      </c>
      <c r="AL11" s="6">
        <f t="shared" si="3"/>
        <v>0.29629629629629628</v>
      </c>
      <c r="AM11" s="6">
        <f t="shared" si="4"/>
        <v>2.2222222222222223E-2</v>
      </c>
      <c r="AN11" s="6">
        <f t="shared" si="9"/>
        <v>1</v>
      </c>
      <c r="AO11" s="5"/>
      <c r="AP11" s="5"/>
    </row>
    <row r="12" spans="1:43">
      <c r="A12" s="6" t="s">
        <v>22</v>
      </c>
      <c r="B12" s="6" t="s">
        <v>2</v>
      </c>
      <c r="C12" s="6">
        <v>355</v>
      </c>
      <c r="D12" s="6" t="s">
        <v>39</v>
      </c>
      <c r="E12" s="6" t="s">
        <v>35</v>
      </c>
      <c r="F12" s="6" t="s">
        <v>36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V12" s="6">
        <v>120</v>
      </c>
      <c r="W12" s="6">
        <v>95</v>
      </c>
      <c r="X12" s="6">
        <v>100</v>
      </c>
      <c r="Y12" s="6"/>
      <c r="Z12" s="6"/>
      <c r="AA12" s="6"/>
      <c r="AB12" s="6">
        <f t="shared" si="5"/>
        <v>120</v>
      </c>
      <c r="AC12" s="6">
        <f t="shared" si="6"/>
        <v>123.5</v>
      </c>
      <c r="AD12" s="6">
        <f t="shared" si="7"/>
        <v>100</v>
      </c>
      <c r="AE12" s="7">
        <f t="shared" si="8"/>
        <v>343.5</v>
      </c>
      <c r="AF12" s="6">
        <f t="shared" si="0"/>
        <v>11.5</v>
      </c>
      <c r="AG12" s="6"/>
      <c r="AH12" s="6"/>
      <c r="AI12" s="6"/>
      <c r="AJ12" s="6">
        <f t="shared" si="1"/>
        <v>0.3380281690140845</v>
      </c>
      <c r="AK12" s="6">
        <f t="shared" si="2"/>
        <v>0.34788732394366195</v>
      </c>
      <c r="AL12" s="6">
        <f t="shared" si="3"/>
        <v>0.28169014084507044</v>
      </c>
      <c r="AM12" s="6">
        <f t="shared" si="4"/>
        <v>3.2394366197183097E-2</v>
      </c>
      <c r="AN12" s="6">
        <f t="shared" si="9"/>
        <v>1</v>
      </c>
      <c r="AO12" s="5"/>
      <c r="AP12" s="5"/>
    </row>
    <row r="13" spans="1:43">
      <c r="A13" s="6" t="s">
        <v>2</v>
      </c>
      <c r="B13" s="6" t="s">
        <v>2</v>
      </c>
      <c r="C13" s="6">
        <v>395</v>
      </c>
      <c r="D13" s="6" t="s">
        <v>39</v>
      </c>
      <c r="E13" s="6" t="s">
        <v>40</v>
      </c>
      <c r="F13" s="6" t="s">
        <v>41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V13" s="6">
        <v>120</v>
      </c>
      <c r="W13" s="6">
        <v>110</v>
      </c>
      <c r="X13" s="6">
        <v>120</v>
      </c>
      <c r="Y13" s="6"/>
      <c r="Z13" s="6"/>
      <c r="AA13" s="6"/>
      <c r="AB13" s="6">
        <f t="shared" si="5"/>
        <v>120</v>
      </c>
      <c r="AC13" s="6">
        <f t="shared" si="6"/>
        <v>143</v>
      </c>
      <c r="AD13" s="6">
        <f t="shared" si="7"/>
        <v>120</v>
      </c>
      <c r="AE13" s="7">
        <f t="shared" si="8"/>
        <v>383</v>
      </c>
      <c r="AF13" s="6">
        <f t="shared" si="0"/>
        <v>12</v>
      </c>
      <c r="AG13" s="6"/>
      <c r="AH13" s="6"/>
      <c r="AI13" s="6"/>
      <c r="AJ13" s="6">
        <f t="shared" si="1"/>
        <v>0.30379746835443039</v>
      </c>
      <c r="AK13" s="6">
        <f t="shared" si="2"/>
        <v>0.36202531645569619</v>
      </c>
      <c r="AL13" s="6">
        <f t="shared" si="3"/>
        <v>0.30379746835443039</v>
      </c>
      <c r="AM13" s="6">
        <f t="shared" si="4"/>
        <v>3.0379746835443037E-2</v>
      </c>
      <c r="AN13" s="6">
        <f t="shared" si="9"/>
        <v>1</v>
      </c>
      <c r="AO13" s="5"/>
      <c r="AP13" s="5"/>
    </row>
    <row r="14" spans="1:43">
      <c r="A14" s="6" t="s">
        <v>23</v>
      </c>
      <c r="B14" s="6" t="s">
        <v>2</v>
      </c>
      <c r="C14" s="6">
        <v>435</v>
      </c>
      <c r="D14" s="6" t="s">
        <v>39</v>
      </c>
      <c r="E14" s="6" t="s">
        <v>40</v>
      </c>
      <c r="F14" s="6" t="s">
        <v>37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V14" s="6">
        <v>120</v>
      </c>
      <c r="W14" s="6">
        <v>110</v>
      </c>
      <c r="X14" s="6">
        <v>160</v>
      </c>
      <c r="Y14" s="6"/>
      <c r="Z14" s="6"/>
      <c r="AA14" s="6"/>
      <c r="AB14" s="6">
        <f t="shared" si="5"/>
        <v>120</v>
      </c>
      <c r="AC14" s="6">
        <f t="shared" si="6"/>
        <v>143</v>
      </c>
      <c r="AD14" s="6">
        <f t="shared" si="7"/>
        <v>160</v>
      </c>
      <c r="AE14" s="7">
        <f t="shared" si="8"/>
        <v>423</v>
      </c>
      <c r="AF14" s="6">
        <f t="shared" si="0"/>
        <v>12</v>
      </c>
      <c r="AG14" s="6"/>
      <c r="AH14" s="6"/>
      <c r="AI14" s="6"/>
      <c r="AJ14" s="6">
        <f t="shared" si="1"/>
        <v>0.27586206896551724</v>
      </c>
      <c r="AK14" s="6">
        <f t="shared" si="2"/>
        <v>0.32873563218390806</v>
      </c>
      <c r="AL14" s="6">
        <f t="shared" si="3"/>
        <v>0.36781609195402298</v>
      </c>
      <c r="AM14" s="6">
        <f t="shared" si="4"/>
        <v>2.7586206896551724E-2</v>
      </c>
      <c r="AN14" s="6">
        <f t="shared" si="9"/>
        <v>1</v>
      </c>
      <c r="AO14" s="5"/>
      <c r="AP14" s="5"/>
    </row>
    <row r="15" spans="1:43">
      <c r="A15" s="7" t="s">
        <v>16</v>
      </c>
      <c r="B15" s="7" t="s">
        <v>15</v>
      </c>
      <c r="C15" s="7" t="s">
        <v>14</v>
      </c>
      <c r="D15" s="7" t="s">
        <v>6</v>
      </c>
      <c r="E15" s="7" t="s">
        <v>7</v>
      </c>
      <c r="F15" s="7" t="s">
        <v>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V15" s="7" t="s">
        <v>6</v>
      </c>
      <c r="W15" s="7" t="s">
        <v>7</v>
      </c>
      <c r="X15" s="7" t="s">
        <v>8</v>
      </c>
      <c r="Y15" s="7"/>
      <c r="Z15" s="7"/>
      <c r="AA15" s="7"/>
      <c r="AB15" s="7" t="s">
        <v>6</v>
      </c>
      <c r="AC15" s="7" t="s">
        <v>7</v>
      </c>
      <c r="AD15" s="7" t="s">
        <v>6</v>
      </c>
      <c r="AE15" s="7" t="s">
        <v>12</v>
      </c>
      <c r="AF15" s="7" t="s">
        <v>11</v>
      </c>
      <c r="AG15" s="7" t="s">
        <v>13</v>
      </c>
      <c r="AH15" s="7"/>
      <c r="AI15" s="7"/>
      <c r="AJ15" s="7" t="s">
        <v>6</v>
      </c>
      <c r="AK15" s="7" t="s">
        <v>7</v>
      </c>
      <c r="AL15" s="7" t="s">
        <v>6</v>
      </c>
      <c r="AM15" s="7" t="s">
        <v>11</v>
      </c>
      <c r="AN15" s="7" t="s">
        <v>12</v>
      </c>
      <c r="AO15" s="5"/>
      <c r="AP15" s="5"/>
    </row>
    <row r="16" spans="1:43">
      <c r="A16" s="6" t="s">
        <v>3</v>
      </c>
      <c r="B16" s="6" t="s">
        <v>3</v>
      </c>
      <c r="C16" s="6">
        <v>345</v>
      </c>
      <c r="D16" s="6" t="s">
        <v>34</v>
      </c>
      <c r="E16" s="6" t="s">
        <v>35</v>
      </c>
      <c r="F16" s="6" t="s">
        <v>34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V16" s="6">
        <v>100</v>
      </c>
      <c r="W16" s="6">
        <v>95</v>
      </c>
      <c r="X16" s="6">
        <v>100</v>
      </c>
      <c r="Y16" s="6"/>
      <c r="Z16" s="6"/>
      <c r="AA16" s="6"/>
      <c r="AB16" s="6">
        <f t="shared" si="5"/>
        <v>100</v>
      </c>
      <c r="AC16" s="6">
        <f>W16*1.4</f>
        <v>133</v>
      </c>
      <c r="AD16" s="6">
        <f t="shared" si="7"/>
        <v>100</v>
      </c>
      <c r="AE16" s="7">
        <f t="shared" ref="AE16:AE25" si="10">SUM(AB16:AD16)</f>
        <v>333</v>
      </c>
      <c r="AF16" s="6">
        <f t="shared" ref="AF16:AF25" si="11">C16-AE16</f>
        <v>12</v>
      </c>
      <c r="AG16" s="6"/>
      <c r="AH16" s="6"/>
      <c r="AI16" s="6"/>
      <c r="AJ16" s="6">
        <f t="shared" ref="AJ16:AJ25" si="12">AB16/$C16</f>
        <v>0.28985507246376813</v>
      </c>
      <c r="AK16" s="6">
        <f t="shared" ref="AK16:AK25" si="13">AC16/$C16</f>
        <v>0.38550724637681161</v>
      </c>
      <c r="AL16" s="6">
        <f t="shared" ref="AL16:AL25" si="14">AD16/$C16</f>
        <v>0.28985507246376813</v>
      </c>
      <c r="AM16" s="6">
        <f t="shared" ref="AM16:AM25" si="15">AF16/$C16</f>
        <v>3.4782608695652174E-2</v>
      </c>
      <c r="AN16" s="6">
        <f t="shared" si="9"/>
        <v>1</v>
      </c>
      <c r="AO16" s="5"/>
      <c r="AP16" s="5"/>
    </row>
    <row r="17" spans="1:42">
      <c r="A17" s="6" t="s">
        <v>24</v>
      </c>
      <c r="B17" s="6" t="s">
        <v>1</v>
      </c>
      <c r="C17" s="6">
        <v>345</v>
      </c>
      <c r="D17" s="6" t="s">
        <v>36</v>
      </c>
      <c r="E17" s="6" t="s">
        <v>35</v>
      </c>
      <c r="F17" s="6" t="s">
        <v>36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V17" s="6">
        <v>100</v>
      </c>
      <c r="W17" s="6">
        <v>95</v>
      </c>
      <c r="X17" s="6">
        <v>100</v>
      </c>
      <c r="Y17" s="6"/>
      <c r="Z17" s="6"/>
      <c r="AA17" s="6"/>
      <c r="AB17" s="6">
        <f t="shared" si="5"/>
        <v>100</v>
      </c>
      <c r="AC17" s="6">
        <f t="shared" ref="AC17:AC25" si="16">W17*1.4</f>
        <v>133</v>
      </c>
      <c r="AD17" s="6">
        <f t="shared" si="7"/>
        <v>100</v>
      </c>
      <c r="AE17" s="7">
        <f t="shared" si="10"/>
        <v>333</v>
      </c>
      <c r="AF17" s="6">
        <f t="shared" si="11"/>
        <v>12</v>
      </c>
      <c r="AG17" s="6"/>
      <c r="AH17" s="6"/>
      <c r="AI17" s="6"/>
      <c r="AJ17" s="6">
        <f t="shared" si="12"/>
        <v>0.28985507246376813</v>
      </c>
      <c r="AK17" s="6">
        <f t="shared" si="13"/>
        <v>0.38550724637681161</v>
      </c>
      <c r="AL17" s="6">
        <f t="shared" si="14"/>
        <v>0.28985507246376813</v>
      </c>
      <c r="AM17" s="6">
        <f t="shared" si="15"/>
        <v>3.4782608695652174E-2</v>
      </c>
      <c r="AN17" s="6">
        <f t="shared" si="9"/>
        <v>1</v>
      </c>
      <c r="AO17" s="5"/>
      <c r="AP17" s="5"/>
    </row>
    <row r="18" spans="1:42" hidden="1">
      <c r="A18" s="6" t="s">
        <v>1</v>
      </c>
      <c r="B18" s="6" t="s">
        <v>1</v>
      </c>
      <c r="C18" s="6">
        <v>386</v>
      </c>
      <c r="D18" s="6"/>
      <c r="E18" s="6"/>
      <c r="F18" s="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V18" s="6">
        <v>110</v>
      </c>
      <c r="W18" s="6">
        <v>110</v>
      </c>
      <c r="X18" s="6">
        <v>110</v>
      </c>
      <c r="Y18" s="6"/>
      <c r="Z18" s="6"/>
      <c r="AA18" s="6"/>
      <c r="AB18" s="6">
        <f t="shared" si="5"/>
        <v>110</v>
      </c>
      <c r="AC18" s="6">
        <f t="shared" si="16"/>
        <v>154</v>
      </c>
      <c r="AD18" s="6">
        <f t="shared" si="7"/>
        <v>110</v>
      </c>
      <c r="AE18" s="7">
        <f t="shared" si="10"/>
        <v>374</v>
      </c>
      <c r="AF18" s="6">
        <f t="shared" si="11"/>
        <v>12</v>
      </c>
      <c r="AG18" s="6"/>
      <c r="AH18" s="6"/>
      <c r="AI18" s="6"/>
      <c r="AJ18" s="6">
        <f t="shared" si="12"/>
        <v>0.28497409326424872</v>
      </c>
      <c r="AK18" s="6">
        <f t="shared" si="13"/>
        <v>0.39896373056994816</v>
      </c>
      <c r="AL18" s="6">
        <f t="shared" si="14"/>
        <v>0.28497409326424872</v>
      </c>
      <c r="AM18" s="6">
        <f t="shared" si="15"/>
        <v>3.1088082901554404E-2</v>
      </c>
      <c r="AN18" s="6">
        <f t="shared" si="9"/>
        <v>1</v>
      </c>
      <c r="AO18" s="5"/>
      <c r="AP18" s="5"/>
    </row>
    <row r="19" spans="1:42" hidden="1">
      <c r="A19" s="6" t="s">
        <v>25</v>
      </c>
      <c r="B19" s="6" t="s">
        <v>1</v>
      </c>
      <c r="C19" s="6">
        <v>448</v>
      </c>
      <c r="D19" s="6"/>
      <c r="E19" s="6"/>
      <c r="F19" s="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V19" s="6">
        <v>120</v>
      </c>
      <c r="W19" s="6">
        <v>140</v>
      </c>
      <c r="X19" s="6">
        <v>120</v>
      </c>
      <c r="Y19" s="6"/>
      <c r="Z19" s="6"/>
      <c r="AA19" s="6"/>
      <c r="AB19" s="6">
        <f t="shared" si="5"/>
        <v>120</v>
      </c>
      <c r="AC19" s="6">
        <f t="shared" si="16"/>
        <v>196</v>
      </c>
      <c r="AD19" s="6">
        <f t="shared" si="7"/>
        <v>120</v>
      </c>
      <c r="AE19" s="7">
        <f t="shared" si="10"/>
        <v>436</v>
      </c>
      <c r="AF19" s="6">
        <f t="shared" si="11"/>
        <v>12</v>
      </c>
      <c r="AG19" s="6"/>
      <c r="AH19" s="6"/>
      <c r="AI19" s="6"/>
      <c r="AJ19" s="6">
        <f t="shared" si="12"/>
        <v>0.26785714285714285</v>
      </c>
      <c r="AK19" s="6">
        <f t="shared" si="13"/>
        <v>0.4375</v>
      </c>
      <c r="AL19" s="6">
        <f t="shared" si="14"/>
        <v>0.26785714285714285</v>
      </c>
      <c r="AM19" s="6">
        <f t="shared" si="15"/>
        <v>2.6785714285714284E-2</v>
      </c>
      <c r="AN19" s="6">
        <f t="shared" si="9"/>
        <v>0.99999999999999989</v>
      </c>
      <c r="AO19" s="5"/>
      <c r="AP19" s="5"/>
    </row>
    <row r="20" spans="1:42" hidden="1">
      <c r="A20" s="6" t="s">
        <v>26</v>
      </c>
      <c r="B20" s="6" t="s">
        <v>1</v>
      </c>
      <c r="C20" s="6">
        <v>488</v>
      </c>
      <c r="D20" s="6"/>
      <c r="E20" s="6"/>
      <c r="F20" s="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V20" s="6">
        <v>140</v>
      </c>
      <c r="W20" s="6">
        <v>140</v>
      </c>
      <c r="X20" s="6">
        <v>140</v>
      </c>
      <c r="Y20" s="6"/>
      <c r="Z20" s="6"/>
      <c r="AA20" s="6"/>
      <c r="AB20" s="6">
        <f t="shared" si="5"/>
        <v>140</v>
      </c>
      <c r="AC20" s="6">
        <f t="shared" si="16"/>
        <v>196</v>
      </c>
      <c r="AD20" s="6">
        <f t="shared" si="7"/>
        <v>140</v>
      </c>
      <c r="AE20" s="7">
        <f t="shared" si="10"/>
        <v>476</v>
      </c>
      <c r="AF20" s="6">
        <f t="shared" si="11"/>
        <v>12</v>
      </c>
      <c r="AG20" s="6"/>
      <c r="AH20" s="6"/>
      <c r="AI20" s="6"/>
      <c r="AJ20" s="6">
        <f t="shared" si="12"/>
        <v>0.28688524590163933</v>
      </c>
      <c r="AK20" s="6">
        <f t="shared" si="13"/>
        <v>0.40163934426229508</v>
      </c>
      <c r="AL20" s="6">
        <f t="shared" si="14"/>
        <v>0.28688524590163933</v>
      </c>
      <c r="AM20" s="6">
        <f t="shared" si="15"/>
        <v>2.4590163934426229E-2</v>
      </c>
      <c r="AN20" s="6">
        <f t="shared" si="9"/>
        <v>1</v>
      </c>
      <c r="AO20" s="5"/>
      <c r="AP20" s="5"/>
    </row>
    <row r="21" spans="1:42">
      <c r="A21" s="6" t="s">
        <v>27</v>
      </c>
      <c r="B21" s="6" t="s">
        <v>1</v>
      </c>
      <c r="C21" s="6">
        <v>528</v>
      </c>
      <c r="D21" s="6" t="s">
        <v>37</v>
      </c>
      <c r="E21" s="6" t="s">
        <v>38</v>
      </c>
      <c r="F21" s="6" t="s">
        <v>37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V21" s="6">
        <v>160</v>
      </c>
      <c r="W21" s="6">
        <v>140</v>
      </c>
      <c r="X21" s="6">
        <v>160</v>
      </c>
      <c r="Y21" s="6"/>
      <c r="Z21" s="6"/>
      <c r="AA21" s="6"/>
      <c r="AB21" s="6">
        <f t="shared" si="5"/>
        <v>160</v>
      </c>
      <c r="AC21" s="6">
        <f t="shared" si="16"/>
        <v>196</v>
      </c>
      <c r="AD21" s="6">
        <f t="shared" si="7"/>
        <v>160</v>
      </c>
      <c r="AE21" s="7">
        <f t="shared" si="10"/>
        <v>516</v>
      </c>
      <c r="AF21" s="6">
        <f t="shared" si="11"/>
        <v>12</v>
      </c>
      <c r="AG21" s="6"/>
      <c r="AH21" s="6"/>
      <c r="AI21" s="6"/>
      <c r="AJ21" s="6">
        <f t="shared" si="12"/>
        <v>0.30303030303030304</v>
      </c>
      <c r="AK21" s="6">
        <f t="shared" si="13"/>
        <v>0.37121212121212122</v>
      </c>
      <c r="AL21" s="6">
        <f t="shared" si="14"/>
        <v>0.30303030303030304</v>
      </c>
      <c r="AM21" s="6">
        <f t="shared" si="15"/>
        <v>2.2727272727272728E-2</v>
      </c>
      <c r="AN21" s="6">
        <f t="shared" si="9"/>
        <v>1</v>
      </c>
      <c r="AO21" s="5"/>
      <c r="AP21" s="5"/>
    </row>
    <row r="22" spans="1:42" hidden="1">
      <c r="A22" s="6" t="s">
        <v>28</v>
      </c>
      <c r="B22" s="6" t="s">
        <v>1</v>
      </c>
      <c r="C22" s="6">
        <v>556</v>
      </c>
      <c r="D22" s="6"/>
      <c r="E22" s="6"/>
      <c r="F22" s="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V22" s="6">
        <v>160</v>
      </c>
      <c r="W22" s="6">
        <v>160</v>
      </c>
      <c r="X22" s="6">
        <v>160</v>
      </c>
      <c r="Y22" s="6"/>
      <c r="Z22" s="6"/>
      <c r="AA22" s="6"/>
      <c r="AB22" s="6">
        <f t="shared" si="5"/>
        <v>160</v>
      </c>
      <c r="AC22" s="6">
        <f t="shared" si="16"/>
        <v>224</v>
      </c>
      <c r="AD22" s="6">
        <f t="shared" si="7"/>
        <v>160</v>
      </c>
      <c r="AE22" s="7">
        <f t="shared" si="10"/>
        <v>544</v>
      </c>
      <c r="AF22" s="6">
        <f t="shared" si="11"/>
        <v>12</v>
      </c>
      <c r="AG22" s="6"/>
      <c r="AH22" s="6"/>
      <c r="AI22" s="6"/>
      <c r="AJ22" s="6">
        <f t="shared" si="12"/>
        <v>0.28776978417266186</v>
      </c>
      <c r="AK22" s="6">
        <f t="shared" si="13"/>
        <v>0.40287769784172661</v>
      </c>
      <c r="AL22" s="6">
        <f t="shared" si="14"/>
        <v>0.28776978417266186</v>
      </c>
      <c r="AM22" s="6">
        <f t="shared" si="15"/>
        <v>2.1582733812949641E-2</v>
      </c>
      <c r="AN22" s="6">
        <f t="shared" si="9"/>
        <v>0.99999999999999989</v>
      </c>
      <c r="AO22" s="5"/>
      <c r="AP22" s="5"/>
    </row>
    <row r="23" spans="1:42">
      <c r="A23" s="6" t="s">
        <v>29</v>
      </c>
      <c r="B23" s="6" t="s">
        <v>0</v>
      </c>
      <c r="C23" s="6">
        <v>365</v>
      </c>
      <c r="D23" s="6" t="s">
        <v>39</v>
      </c>
      <c r="E23" s="6" t="s">
        <v>35</v>
      </c>
      <c r="F23" s="6" t="s">
        <v>36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V23" s="6">
        <v>120</v>
      </c>
      <c r="W23" s="6">
        <v>95</v>
      </c>
      <c r="X23" s="6">
        <v>100</v>
      </c>
      <c r="Y23" s="6"/>
      <c r="Z23" s="6"/>
      <c r="AA23" s="6"/>
      <c r="AB23" s="6">
        <f t="shared" si="5"/>
        <v>120</v>
      </c>
      <c r="AC23" s="6">
        <f t="shared" si="16"/>
        <v>133</v>
      </c>
      <c r="AD23" s="6">
        <f t="shared" si="7"/>
        <v>100</v>
      </c>
      <c r="AE23" s="7">
        <f t="shared" si="10"/>
        <v>353</v>
      </c>
      <c r="AF23" s="6">
        <f t="shared" si="11"/>
        <v>12</v>
      </c>
      <c r="AG23" s="6"/>
      <c r="AH23" s="6"/>
      <c r="AI23" s="6"/>
      <c r="AJ23" s="6">
        <f t="shared" si="12"/>
        <v>0.32876712328767121</v>
      </c>
      <c r="AK23" s="6">
        <f t="shared" si="13"/>
        <v>0.36438356164383562</v>
      </c>
      <c r="AL23" s="6">
        <f t="shared" si="14"/>
        <v>0.27397260273972601</v>
      </c>
      <c r="AM23" s="6">
        <f t="shared" si="15"/>
        <v>3.287671232876712E-2</v>
      </c>
      <c r="AN23" s="6">
        <f t="shared" si="9"/>
        <v>0.99999999999999989</v>
      </c>
      <c r="AO23" s="5"/>
      <c r="AP23" s="5"/>
    </row>
    <row r="24" spans="1:42">
      <c r="A24" s="6" t="s">
        <v>0</v>
      </c>
      <c r="B24" s="6" t="s">
        <v>0</v>
      </c>
      <c r="C24" s="6">
        <v>406</v>
      </c>
      <c r="D24" s="6" t="s">
        <v>39</v>
      </c>
      <c r="E24" s="6" t="s">
        <v>40</v>
      </c>
      <c r="F24" s="6" t="s">
        <v>41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V24" s="6">
        <v>120</v>
      </c>
      <c r="W24" s="6">
        <v>110</v>
      </c>
      <c r="X24" s="6">
        <v>120</v>
      </c>
      <c r="Y24" s="6"/>
      <c r="Z24" s="6"/>
      <c r="AA24" s="6"/>
      <c r="AB24" s="6">
        <f t="shared" si="5"/>
        <v>120</v>
      </c>
      <c r="AC24" s="6">
        <f t="shared" si="16"/>
        <v>154</v>
      </c>
      <c r="AD24" s="6">
        <f t="shared" si="7"/>
        <v>120</v>
      </c>
      <c r="AE24" s="7">
        <f t="shared" si="10"/>
        <v>394</v>
      </c>
      <c r="AF24" s="6">
        <f t="shared" si="11"/>
        <v>12</v>
      </c>
      <c r="AG24" s="6"/>
      <c r="AH24" s="6"/>
      <c r="AI24" s="6"/>
      <c r="AJ24" s="6">
        <f t="shared" si="12"/>
        <v>0.29556650246305421</v>
      </c>
      <c r="AK24" s="6">
        <f t="shared" si="13"/>
        <v>0.37931034482758619</v>
      </c>
      <c r="AL24" s="6">
        <f t="shared" si="14"/>
        <v>0.29556650246305421</v>
      </c>
      <c r="AM24" s="6">
        <f t="shared" si="15"/>
        <v>2.9556650246305417E-2</v>
      </c>
      <c r="AN24" s="6">
        <f t="shared" si="9"/>
        <v>1</v>
      </c>
      <c r="AO24" s="5"/>
      <c r="AP24" s="5"/>
    </row>
    <row r="25" spans="1:42">
      <c r="A25" s="6" t="s">
        <v>30</v>
      </c>
      <c r="B25" s="6" t="s">
        <v>0</v>
      </c>
      <c r="C25" s="6">
        <v>446</v>
      </c>
      <c r="D25" s="6" t="s">
        <v>39</v>
      </c>
      <c r="E25" s="6" t="s">
        <v>40</v>
      </c>
      <c r="F25" s="6" t="s">
        <v>37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V25" s="6">
        <v>120</v>
      </c>
      <c r="W25" s="6">
        <v>110</v>
      </c>
      <c r="X25" s="6">
        <v>160</v>
      </c>
      <c r="Y25" s="6"/>
      <c r="Z25" s="6"/>
      <c r="AA25" s="6"/>
      <c r="AB25" s="6">
        <f t="shared" si="5"/>
        <v>120</v>
      </c>
      <c r="AC25" s="6">
        <f t="shared" si="16"/>
        <v>154</v>
      </c>
      <c r="AD25" s="6">
        <f t="shared" si="7"/>
        <v>160</v>
      </c>
      <c r="AE25" s="7">
        <f t="shared" si="10"/>
        <v>434</v>
      </c>
      <c r="AF25" s="6">
        <f t="shared" si="11"/>
        <v>12</v>
      </c>
      <c r="AG25" s="6"/>
      <c r="AH25" s="6"/>
      <c r="AI25" s="6"/>
      <c r="AJ25" s="6">
        <f t="shared" si="12"/>
        <v>0.26905829596412556</v>
      </c>
      <c r="AK25" s="6">
        <f t="shared" si="13"/>
        <v>0.3452914798206278</v>
      </c>
      <c r="AL25" s="6">
        <f t="shared" si="14"/>
        <v>0.35874439461883406</v>
      </c>
      <c r="AM25" s="6">
        <f t="shared" si="15"/>
        <v>2.6905829596412557E-2</v>
      </c>
      <c r="AN25" s="6">
        <f t="shared" si="9"/>
        <v>0.99999999999999989</v>
      </c>
      <c r="AO25" s="5"/>
      <c r="AP25" s="5"/>
    </row>
    <row r="26" spans="1:42">
      <c r="A26" s="5"/>
      <c r="V26" s="5"/>
      <c r="W26" s="5"/>
      <c r="X26" s="5"/>
      <c r="Y26" s="5"/>
      <c r="Z26" s="5"/>
      <c r="AA26" s="5"/>
      <c r="AB26" s="5"/>
      <c r="AC26" s="5"/>
      <c r="AD26" s="5"/>
      <c r="AE26" s="9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>
      <c r="A27" s="5"/>
      <c r="B27" s="7" t="s">
        <v>15</v>
      </c>
      <c r="C27" s="7" t="s">
        <v>14</v>
      </c>
      <c r="D27" s="7" t="s">
        <v>6</v>
      </c>
      <c r="E27" s="7" t="s">
        <v>7</v>
      </c>
      <c r="F27" s="7" t="s">
        <v>6</v>
      </c>
      <c r="G27" s="7" t="s">
        <v>7</v>
      </c>
      <c r="H27" s="7" t="s">
        <v>6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V27" s="6"/>
      <c r="W27" s="6"/>
      <c r="X27" s="6"/>
      <c r="Y27" s="6"/>
      <c r="Z27" s="6"/>
      <c r="AA27" s="6"/>
      <c r="AB27" s="6" t="s">
        <v>6</v>
      </c>
      <c r="AC27" s="6" t="s">
        <v>7</v>
      </c>
      <c r="AD27" s="6" t="s">
        <v>6</v>
      </c>
      <c r="AE27" s="6" t="s">
        <v>7</v>
      </c>
      <c r="AF27" s="6" t="s">
        <v>6</v>
      </c>
      <c r="AG27" s="7" t="s">
        <v>12</v>
      </c>
      <c r="AH27" s="6" t="s">
        <v>11</v>
      </c>
      <c r="AI27" s="6"/>
      <c r="AJ27" s="7" t="s">
        <v>6</v>
      </c>
      <c r="AK27" s="7" t="s">
        <v>7</v>
      </c>
      <c r="AL27" s="7" t="s">
        <v>6</v>
      </c>
      <c r="AM27" s="7" t="s">
        <v>7</v>
      </c>
      <c r="AN27" s="7" t="s">
        <v>6</v>
      </c>
      <c r="AO27" s="7" t="s">
        <v>11</v>
      </c>
      <c r="AP27" s="7" t="s">
        <v>12</v>
      </c>
    </row>
    <row r="28" spans="1:42">
      <c r="A28" s="10" t="s">
        <v>31</v>
      </c>
      <c r="B28" s="6" t="s">
        <v>9</v>
      </c>
      <c r="C28" s="6">
        <v>575</v>
      </c>
      <c r="D28" s="6" t="s">
        <v>36</v>
      </c>
      <c r="E28" s="6" t="s">
        <v>35</v>
      </c>
      <c r="F28" s="6" t="s">
        <v>35</v>
      </c>
      <c r="G28" s="6" t="s">
        <v>35</v>
      </c>
      <c r="H28" s="6" t="s">
        <v>36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V28" s="6">
        <v>100</v>
      </c>
      <c r="W28" s="6">
        <v>95</v>
      </c>
      <c r="X28" s="6">
        <v>95</v>
      </c>
      <c r="Y28" s="6">
        <v>95</v>
      </c>
      <c r="Z28" s="6">
        <v>100</v>
      </c>
      <c r="AA28" s="6"/>
      <c r="AB28" s="6">
        <f t="shared" si="5"/>
        <v>100</v>
      </c>
      <c r="AC28" s="6">
        <f>W28*1.3</f>
        <v>123.5</v>
      </c>
      <c r="AD28" s="6">
        <f>X28</f>
        <v>95</v>
      </c>
      <c r="AE28" s="8">
        <f>Y28*1.4</f>
        <v>133</v>
      </c>
      <c r="AF28" s="6">
        <f>Z28</f>
        <v>100</v>
      </c>
      <c r="AG28" s="7">
        <f>SUM(AB28:AF28)</f>
        <v>551.5</v>
      </c>
      <c r="AH28" s="6">
        <f>C28-AG28</f>
        <v>23.5</v>
      </c>
      <c r="AI28" s="6"/>
      <c r="AJ28" s="6">
        <f t="shared" ref="AJ28:AN32" si="17">AB28/$C28</f>
        <v>0.17391304347826086</v>
      </c>
      <c r="AK28" s="6">
        <f t="shared" si="17"/>
        <v>0.21478260869565216</v>
      </c>
      <c r="AL28" s="6">
        <f t="shared" si="17"/>
        <v>0.16521739130434782</v>
      </c>
      <c r="AM28" s="6">
        <f t="shared" si="17"/>
        <v>0.23130434782608697</v>
      </c>
      <c r="AN28" s="6">
        <f t="shared" si="17"/>
        <v>0.17391304347826086</v>
      </c>
      <c r="AO28" s="6">
        <f>AH28/$C28</f>
        <v>4.0869565217391303E-2</v>
      </c>
      <c r="AP28" s="6">
        <f>SUM(AJ28:AO28)</f>
        <v>1</v>
      </c>
    </row>
    <row r="29" spans="1:42">
      <c r="A29" s="10" t="s">
        <v>9</v>
      </c>
      <c r="B29" s="6" t="s">
        <v>9</v>
      </c>
      <c r="C29" s="6">
        <v>656</v>
      </c>
      <c r="D29" s="6" t="s">
        <v>41</v>
      </c>
      <c r="E29" s="6" t="s">
        <v>40</v>
      </c>
      <c r="F29" s="6" t="s">
        <v>35</v>
      </c>
      <c r="G29" s="6" t="s">
        <v>40</v>
      </c>
      <c r="H29" s="6" t="s">
        <v>41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V29" s="6">
        <v>120</v>
      </c>
      <c r="W29" s="6">
        <v>110</v>
      </c>
      <c r="X29" s="6">
        <v>95</v>
      </c>
      <c r="Y29" s="6">
        <v>110</v>
      </c>
      <c r="Z29" s="6">
        <v>120</v>
      </c>
      <c r="AA29" s="6"/>
      <c r="AB29" s="6">
        <f t="shared" si="5"/>
        <v>120</v>
      </c>
      <c r="AC29" s="6">
        <f>W29*1.3</f>
        <v>143</v>
      </c>
      <c r="AD29" s="6">
        <f t="shared" ref="AD29:AD32" si="18">X29</f>
        <v>95</v>
      </c>
      <c r="AE29" s="8">
        <f t="shared" ref="AE29:AE32" si="19">Y29*1.4</f>
        <v>154</v>
      </c>
      <c r="AF29" s="6">
        <f t="shared" ref="AF29:AF32" si="20">Z29</f>
        <v>120</v>
      </c>
      <c r="AG29" s="7">
        <f t="shared" ref="AG29:AG32" si="21">SUM(AB29:AF29)</f>
        <v>632</v>
      </c>
      <c r="AH29" s="6">
        <f>C29-AG29</f>
        <v>24</v>
      </c>
      <c r="AI29" s="6"/>
      <c r="AJ29" s="6">
        <f t="shared" si="17"/>
        <v>0.18292682926829268</v>
      </c>
      <c r="AK29" s="6">
        <f t="shared" si="17"/>
        <v>0.21798780487804878</v>
      </c>
      <c r="AL29" s="6">
        <f t="shared" si="17"/>
        <v>0.1448170731707317</v>
      </c>
      <c r="AM29" s="6">
        <f t="shared" si="17"/>
        <v>0.2347560975609756</v>
      </c>
      <c r="AN29" s="6">
        <f t="shared" si="17"/>
        <v>0.18292682926829268</v>
      </c>
      <c r="AO29" s="6">
        <f>AH29/$C29</f>
        <v>3.6585365853658534E-2</v>
      </c>
      <c r="AP29" s="6">
        <f t="shared" ref="AP29:AP32" si="22">SUM(AJ29:AO29)</f>
        <v>1</v>
      </c>
    </row>
    <row r="30" spans="1:42">
      <c r="A30" s="10" t="s">
        <v>32</v>
      </c>
      <c r="B30" s="6" t="s">
        <v>9</v>
      </c>
      <c r="C30" s="6">
        <v>696</v>
      </c>
      <c r="D30" s="6" t="s">
        <v>42</v>
      </c>
      <c r="E30" s="6" t="s">
        <v>40</v>
      </c>
      <c r="F30" s="6" t="s">
        <v>35</v>
      </c>
      <c r="G30" s="6" t="s">
        <v>40</v>
      </c>
      <c r="H30" s="6" t="s">
        <v>42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V30" s="6">
        <v>140</v>
      </c>
      <c r="W30" s="6">
        <v>110</v>
      </c>
      <c r="X30" s="6">
        <v>95</v>
      </c>
      <c r="Y30" s="6">
        <v>110</v>
      </c>
      <c r="Z30" s="6">
        <v>140</v>
      </c>
      <c r="AA30" s="6"/>
      <c r="AB30" s="6">
        <f t="shared" si="5"/>
        <v>140</v>
      </c>
      <c r="AC30" s="6">
        <f>W30*1.3</f>
        <v>143</v>
      </c>
      <c r="AD30" s="6">
        <f t="shared" si="18"/>
        <v>95</v>
      </c>
      <c r="AE30" s="8">
        <f t="shared" si="19"/>
        <v>154</v>
      </c>
      <c r="AF30" s="6">
        <f t="shared" si="20"/>
        <v>140</v>
      </c>
      <c r="AG30" s="7">
        <f t="shared" si="21"/>
        <v>672</v>
      </c>
      <c r="AH30" s="6">
        <f>C30-AG30</f>
        <v>24</v>
      </c>
      <c r="AI30" s="6"/>
      <c r="AJ30" s="6">
        <f t="shared" si="17"/>
        <v>0.20114942528735633</v>
      </c>
      <c r="AK30" s="6">
        <f t="shared" si="17"/>
        <v>0.20545977011494254</v>
      </c>
      <c r="AL30" s="6">
        <f t="shared" si="17"/>
        <v>0.13649425287356323</v>
      </c>
      <c r="AM30" s="6">
        <f t="shared" si="17"/>
        <v>0.22126436781609196</v>
      </c>
      <c r="AN30" s="6">
        <f t="shared" si="17"/>
        <v>0.20114942528735633</v>
      </c>
      <c r="AO30" s="6">
        <f>AH30/$C30</f>
        <v>3.4482758620689655E-2</v>
      </c>
      <c r="AP30" s="6">
        <f t="shared" si="22"/>
        <v>1</v>
      </c>
    </row>
    <row r="31" spans="1:42">
      <c r="A31" s="10" t="s">
        <v>33</v>
      </c>
      <c r="B31" s="6" t="s">
        <v>9</v>
      </c>
      <c r="C31" s="6">
        <v>777</v>
      </c>
      <c r="D31" s="6" t="s">
        <v>42</v>
      </c>
      <c r="E31" s="6" t="s">
        <v>38</v>
      </c>
      <c r="F31" s="6" t="s">
        <v>35</v>
      </c>
      <c r="G31" s="6" t="s">
        <v>38</v>
      </c>
      <c r="H31" s="6" t="s">
        <v>42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V31" s="6">
        <v>140</v>
      </c>
      <c r="W31" s="6">
        <v>140</v>
      </c>
      <c r="X31" s="6">
        <v>95</v>
      </c>
      <c r="Y31" s="6">
        <v>140</v>
      </c>
      <c r="Z31" s="6">
        <v>140</v>
      </c>
      <c r="AA31" s="6"/>
      <c r="AB31" s="6">
        <f t="shared" si="5"/>
        <v>140</v>
      </c>
      <c r="AC31" s="6">
        <f>W31*1.3</f>
        <v>182</v>
      </c>
      <c r="AD31" s="6">
        <f t="shared" si="18"/>
        <v>95</v>
      </c>
      <c r="AE31" s="8">
        <f t="shared" si="19"/>
        <v>196</v>
      </c>
      <c r="AF31" s="6">
        <f t="shared" si="20"/>
        <v>140</v>
      </c>
      <c r="AG31" s="7">
        <f t="shared" si="21"/>
        <v>753</v>
      </c>
      <c r="AH31" s="6">
        <f>C31-AG31</f>
        <v>24</v>
      </c>
      <c r="AI31" s="6"/>
      <c r="AJ31" s="6">
        <f t="shared" si="17"/>
        <v>0.18018018018018017</v>
      </c>
      <c r="AK31" s="6">
        <f t="shared" si="17"/>
        <v>0.23423423423423423</v>
      </c>
      <c r="AL31" s="6">
        <f t="shared" si="17"/>
        <v>0.12226512226512226</v>
      </c>
      <c r="AM31" s="6">
        <f t="shared" si="17"/>
        <v>0.25225225225225223</v>
      </c>
      <c r="AN31" s="6">
        <f t="shared" si="17"/>
        <v>0.18018018018018017</v>
      </c>
      <c r="AO31" s="6">
        <f>AH31/$C31</f>
        <v>3.0888030888030889E-2</v>
      </c>
      <c r="AP31" s="6">
        <f t="shared" si="22"/>
        <v>1</v>
      </c>
    </row>
    <row r="32" spans="1:42">
      <c r="A32" s="10" t="s">
        <v>10</v>
      </c>
      <c r="B32" s="6" t="s">
        <v>10</v>
      </c>
      <c r="C32" s="6">
        <v>615</v>
      </c>
      <c r="D32" s="6" t="s">
        <v>39</v>
      </c>
      <c r="E32" s="6" t="s">
        <v>35</v>
      </c>
      <c r="F32" s="6" t="s">
        <v>35</v>
      </c>
      <c r="G32" s="6" t="s">
        <v>35</v>
      </c>
      <c r="H32" s="6" t="s">
        <v>41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V32" s="6">
        <v>120</v>
      </c>
      <c r="W32" s="6">
        <v>95</v>
      </c>
      <c r="X32" s="6">
        <v>95</v>
      </c>
      <c r="Y32" s="6">
        <v>95</v>
      </c>
      <c r="Z32" s="6">
        <v>120</v>
      </c>
      <c r="AA32" s="6"/>
      <c r="AB32" s="6">
        <f t="shared" si="5"/>
        <v>120</v>
      </c>
      <c r="AC32" s="6">
        <f>W32*1.3</f>
        <v>123.5</v>
      </c>
      <c r="AD32" s="6">
        <f t="shared" si="18"/>
        <v>95</v>
      </c>
      <c r="AE32" s="8">
        <f t="shared" si="19"/>
        <v>133</v>
      </c>
      <c r="AF32" s="6">
        <f t="shared" si="20"/>
        <v>120</v>
      </c>
      <c r="AG32" s="7">
        <f t="shared" si="21"/>
        <v>591.5</v>
      </c>
      <c r="AH32" s="6">
        <f>C32-AG32</f>
        <v>23.5</v>
      </c>
      <c r="AI32" s="6"/>
      <c r="AJ32" s="6">
        <f t="shared" si="17"/>
        <v>0.1951219512195122</v>
      </c>
      <c r="AK32" s="6">
        <f t="shared" si="17"/>
        <v>0.20081300813008129</v>
      </c>
      <c r="AL32" s="6">
        <f t="shared" si="17"/>
        <v>0.15447154471544716</v>
      </c>
      <c r="AM32" s="6">
        <f t="shared" si="17"/>
        <v>0.216260162601626</v>
      </c>
      <c r="AN32" s="6">
        <f t="shared" si="17"/>
        <v>0.1951219512195122</v>
      </c>
      <c r="AO32" s="6">
        <f>AH32/$C32</f>
        <v>3.8211382113821135E-2</v>
      </c>
      <c r="AP32" s="6">
        <f t="shared" si="22"/>
        <v>0.99999999999999989</v>
      </c>
    </row>
  </sheetData>
  <mergeCells count="1">
    <mergeCell ref="A2:AQ2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H30"/>
  <sheetViews>
    <sheetView workbookViewId="0">
      <selection activeCell="F15" sqref="F15"/>
    </sheetView>
  </sheetViews>
  <sheetFormatPr defaultRowHeight="15"/>
  <cols>
    <col min="1" max="1" width="8" customWidth="1"/>
    <col min="2" max="2" width="7.85546875" style="5" customWidth="1"/>
    <col min="3" max="8" width="7.28515625" style="5" customWidth="1"/>
    <col min="9" max="9" width="4" style="5" customWidth="1"/>
    <col min="10" max="10" width="8.28515625" style="5" hidden="1" customWidth="1"/>
    <col min="11" max="11" width="0" hidden="1" customWidth="1"/>
    <col min="12" max="13" width="9.140625" hidden="1" customWidth="1"/>
    <col min="14" max="14" width="10" hidden="1" customWidth="1"/>
    <col min="15" max="15" width="11.140625" hidden="1" customWidth="1"/>
    <col min="16" max="20" width="9.140625" hidden="1" customWidth="1"/>
    <col min="21" max="21" width="9.140625" style="1" hidden="1" customWidth="1"/>
    <col min="22" max="26" width="9.140625" hidden="1" customWidth="1"/>
    <col min="34" max="34" width="8" customWidth="1"/>
  </cols>
  <sheetData>
    <row r="2" spans="1:34" ht="21">
      <c r="A2" s="30" t="s">
        <v>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4" spans="1:34">
      <c r="A4" s="7" t="s">
        <v>16</v>
      </c>
      <c r="B4" s="7" t="s">
        <v>15</v>
      </c>
      <c r="C4" s="7" t="s">
        <v>14</v>
      </c>
      <c r="D4" s="7" t="s">
        <v>6</v>
      </c>
      <c r="E4" s="7" t="s">
        <v>7</v>
      </c>
      <c r="F4" s="7" t="s">
        <v>6</v>
      </c>
      <c r="J4" s="11"/>
      <c r="L4" s="3" t="s">
        <v>6</v>
      </c>
      <c r="M4" s="3" t="s">
        <v>7</v>
      </c>
      <c r="N4" s="3" t="s">
        <v>8</v>
      </c>
      <c r="O4" s="3"/>
      <c r="P4" s="3"/>
      <c r="Q4" s="3"/>
      <c r="R4" s="3" t="s">
        <v>6</v>
      </c>
      <c r="S4" s="3" t="s">
        <v>7</v>
      </c>
      <c r="T4" s="3" t="s">
        <v>6</v>
      </c>
      <c r="U4" s="3" t="s">
        <v>12</v>
      </c>
      <c r="V4" s="3" t="s">
        <v>11</v>
      </c>
      <c r="W4" s="3" t="s">
        <v>13</v>
      </c>
      <c r="X4" s="3"/>
      <c r="Y4" s="3"/>
      <c r="Z4" s="3"/>
      <c r="AA4" s="3" t="s">
        <v>6</v>
      </c>
      <c r="AB4" s="3" t="s">
        <v>7</v>
      </c>
      <c r="AC4" s="3" t="s">
        <v>6</v>
      </c>
      <c r="AD4" s="3" t="s">
        <v>11</v>
      </c>
      <c r="AE4" s="3" t="s">
        <v>13</v>
      </c>
      <c r="AF4" s="7" t="s">
        <v>12</v>
      </c>
    </row>
    <row r="5" spans="1:34">
      <c r="A5" s="6" t="s">
        <v>43</v>
      </c>
      <c r="B5" s="6" t="s">
        <v>5</v>
      </c>
      <c r="C5" s="6">
        <v>345</v>
      </c>
      <c r="D5" s="6" t="s">
        <v>36</v>
      </c>
      <c r="E5" s="6" t="s">
        <v>35</v>
      </c>
      <c r="F5" s="6" t="s">
        <v>36</v>
      </c>
      <c r="J5" s="12"/>
      <c r="L5" s="2">
        <v>100</v>
      </c>
      <c r="M5" s="2">
        <v>95</v>
      </c>
      <c r="N5" s="2">
        <v>100</v>
      </c>
      <c r="O5" s="2"/>
      <c r="P5" s="2"/>
      <c r="Q5" s="2"/>
      <c r="R5" s="2">
        <f t="shared" ref="R5:R30" si="0">L5</f>
        <v>100</v>
      </c>
      <c r="S5" s="2">
        <f t="shared" ref="S5:S13" si="1">M5*1.3</f>
        <v>123.5</v>
      </c>
      <c r="T5" s="2">
        <f t="shared" ref="T5:T23" si="2">N5</f>
        <v>100</v>
      </c>
      <c r="U5" s="3">
        <f t="shared" ref="U5:U13" si="3">SUM(R5:T5)</f>
        <v>323.5</v>
      </c>
      <c r="V5" s="2">
        <v>11.5</v>
      </c>
      <c r="W5" s="2">
        <v>10</v>
      </c>
      <c r="X5" s="2"/>
      <c r="Y5" s="2"/>
      <c r="Z5" s="2"/>
      <c r="AA5" s="2">
        <f t="shared" ref="AA5:AA13" si="4">R5/$C5</f>
        <v>0.28985507246376813</v>
      </c>
      <c r="AB5" s="2">
        <f t="shared" ref="AB5:AB13" si="5">S5/$C5</f>
        <v>0.35797101449275365</v>
      </c>
      <c r="AC5" s="2">
        <f t="shared" ref="AC5:AC13" si="6">T5/$C5</f>
        <v>0.28985507246376813</v>
      </c>
      <c r="AD5" s="2">
        <f t="shared" ref="AD5:AD13" si="7">V5/$C5</f>
        <v>3.3333333333333333E-2</v>
      </c>
      <c r="AE5" s="2">
        <f t="shared" ref="AE5:AE13" si="8">W5/$C5</f>
        <v>2.8985507246376812E-2</v>
      </c>
      <c r="AF5" s="6">
        <f>SUM(AA5:AE5)</f>
        <v>1</v>
      </c>
    </row>
    <row r="6" spans="1:34" hidden="1">
      <c r="A6" s="6" t="s">
        <v>44</v>
      </c>
      <c r="B6" s="6" t="s">
        <v>5</v>
      </c>
      <c r="C6" s="6">
        <v>385</v>
      </c>
      <c r="D6" s="6"/>
      <c r="E6" s="6"/>
      <c r="F6" s="6"/>
      <c r="J6" s="12"/>
      <c r="L6" s="2">
        <v>110</v>
      </c>
      <c r="M6" s="2">
        <v>110</v>
      </c>
      <c r="N6" s="2">
        <v>110</v>
      </c>
      <c r="O6" s="2"/>
      <c r="P6" s="2"/>
      <c r="Q6" s="2"/>
      <c r="R6" s="2">
        <f t="shared" si="0"/>
        <v>110</v>
      </c>
      <c r="S6" s="2">
        <f t="shared" si="1"/>
        <v>143</v>
      </c>
      <c r="T6" s="2">
        <f t="shared" si="2"/>
        <v>110</v>
      </c>
      <c r="U6" s="3">
        <f t="shared" si="3"/>
        <v>363</v>
      </c>
      <c r="V6" s="2">
        <v>12</v>
      </c>
      <c r="W6" s="2">
        <v>10</v>
      </c>
      <c r="X6" s="2"/>
      <c r="Y6" s="2"/>
      <c r="Z6" s="2"/>
      <c r="AA6" s="2">
        <f t="shared" si="4"/>
        <v>0.2857142857142857</v>
      </c>
      <c r="AB6" s="2">
        <f t="shared" si="5"/>
        <v>0.37142857142857144</v>
      </c>
      <c r="AC6" s="2">
        <f t="shared" si="6"/>
        <v>0.2857142857142857</v>
      </c>
      <c r="AD6" s="2">
        <f t="shared" si="7"/>
        <v>3.1168831168831169E-2</v>
      </c>
      <c r="AE6" s="2">
        <f t="shared" si="8"/>
        <v>2.5974025974025976E-2</v>
      </c>
      <c r="AF6" s="6">
        <f t="shared" ref="AF6:AF23" si="9">SUM(AA6:AE6)</f>
        <v>1</v>
      </c>
    </row>
    <row r="7" spans="1:34" hidden="1">
      <c r="A7" s="6" t="s">
        <v>45</v>
      </c>
      <c r="B7" s="6" t="s">
        <v>5</v>
      </c>
      <c r="C7" s="6">
        <v>444</v>
      </c>
      <c r="D7" s="6"/>
      <c r="E7" s="6"/>
      <c r="F7" s="6"/>
      <c r="J7" s="12"/>
      <c r="L7" s="2">
        <v>120</v>
      </c>
      <c r="M7" s="2">
        <v>140</v>
      </c>
      <c r="N7" s="2">
        <v>120</v>
      </c>
      <c r="O7" s="2"/>
      <c r="P7" s="2"/>
      <c r="Q7" s="2"/>
      <c r="R7" s="2">
        <f t="shared" si="0"/>
        <v>120</v>
      </c>
      <c r="S7" s="2">
        <f t="shared" si="1"/>
        <v>182</v>
      </c>
      <c r="T7" s="2">
        <f t="shared" si="2"/>
        <v>120</v>
      </c>
      <c r="U7" s="3">
        <f t="shared" si="3"/>
        <v>422</v>
      </c>
      <c r="V7" s="2">
        <v>12</v>
      </c>
      <c r="W7" s="2">
        <v>10</v>
      </c>
      <c r="X7" s="2"/>
      <c r="Y7" s="2"/>
      <c r="Z7" s="2"/>
      <c r="AA7" s="2">
        <f t="shared" si="4"/>
        <v>0.27027027027027029</v>
      </c>
      <c r="AB7" s="2">
        <f t="shared" si="5"/>
        <v>0.40990990990990989</v>
      </c>
      <c r="AC7" s="2">
        <f t="shared" si="6"/>
        <v>0.27027027027027029</v>
      </c>
      <c r="AD7" s="2">
        <f t="shared" si="7"/>
        <v>2.7027027027027029E-2</v>
      </c>
      <c r="AE7" s="2">
        <f t="shared" si="8"/>
        <v>2.2522522522522521E-2</v>
      </c>
      <c r="AF7" s="6">
        <f t="shared" si="9"/>
        <v>1</v>
      </c>
    </row>
    <row r="8" spans="1:34" hidden="1">
      <c r="A8" s="6" t="s">
        <v>46</v>
      </c>
      <c r="B8" s="6" t="s">
        <v>5</v>
      </c>
      <c r="C8" s="6">
        <v>484</v>
      </c>
      <c r="D8" s="6"/>
      <c r="E8" s="6"/>
      <c r="F8" s="6"/>
      <c r="J8" s="12"/>
      <c r="L8" s="2">
        <v>140</v>
      </c>
      <c r="M8" s="2">
        <v>140</v>
      </c>
      <c r="N8" s="2">
        <v>140</v>
      </c>
      <c r="O8" s="2"/>
      <c r="P8" s="2"/>
      <c r="Q8" s="2"/>
      <c r="R8" s="2">
        <f t="shared" si="0"/>
        <v>140</v>
      </c>
      <c r="S8" s="2">
        <f t="shared" si="1"/>
        <v>182</v>
      </c>
      <c r="T8" s="2">
        <f t="shared" si="2"/>
        <v>140</v>
      </c>
      <c r="U8" s="3">
        <f t="shared" si="3"/>
        <v>462</v>
      </c>
      <c r="V8" s="2">
        <v>12</v>
      </c>
      <c r="W8" s="2">
        <v>10</v>
      </c>
      <c r="X8" s="2"/>
      <c r="Y8" s="2"/>
      <c r="Z8" s="2"/>
      <c r="AA8" s="2">
        <f t="shared" si="4"/>
        <v>0.28925619834710742</v>
      </c>
      <c r="AB8" s="2">
        <f t="shared" si="5"/>
        <v>0.37603305785123969</v>
      </c>
      <c r="AC8" s="2">
        <f t="shared" si="6"/>
        <v>0.28925619834710742</v>
      </c>
      <c r="AD8" s="2">
        <f t="shared" si="7"/>
        <v>2.4793388429752067E-2</v>
      </c>
      <c r="AE8" s="2">
        <f t="shared" si="8"/>
        <v>2.0661157024793389E-2</v>
      </c>
      <c r="AF8" s="6">
        <f t="shared" si="9"/>
        <v>1</v>
      </c>
    </row>
    <row r="9" spans="1:34">
      <c r="A9" s="6" t="s">
        <v>47</v>
      </c>
      <c r="B9" s="6" t="s">
        <v>5</v>
      </c>
      <c r="C9" s="6">
        <v>524</v>
      </c>
      <c r="D9" s="6" t="s">
        <v>37</v>
      </c>
      <c r="E9" s="6" t="s">
        <v>38</v>
      </c>
      <c r="F9" s="6" t="s">
        <v>37</v>
      </c>
      <c r="J9" s="12"/>
      <c r="L9" s="2">
        <v>160</v>
      </c>
      <c r="M9" s="2">
        <v>140</v>
      </c>
      <c r="N9" s="2">
        <v>160</v>
      </c>
      <c r="O9" s="2"/>
      <c r="P9" s="2"/>
      <c r="Q9" s="2"/>
      <c r="R9" s="2">
        <f t="shared" si="0"/>
        <v>160</v>
      </c>
      <c r="S9" s="2">
        <f t="shared" si="1"/>
        <v>182</v>
      </c>
      <c r="T9" s="2">
        <f t="shared" si="2"/>
        <v>160</v>
      </c>
      <c r="U9" s="3">
        <f t="shared" si="3"/>
        <v>502</v>
      </c>
      <c r="V9" s="2">
        <v>12</v>
      </c>
      <c r="W9" s="2">
        <v>10</v>
      </c>
      <c r="X9" s="2"/>
      <c r="Y9" s="2"/>
      <c r="Z9" s="2"/>
      <c r="AA9" s="2">
        <f t="shared" si="4"/>
        <v>0.30534351145038169</v>
      </c>
      <c r="AB9" s="2">
        <f t="shared" si="5"/>
        <v>0.34732824427480918</v>
      </c>
      <c r="AC9" s="2">
        <f t="shared" si="6"/>
        <v>0.30534351145038169</v>
      </c>
      <c r="AD9" s="2">
        <f t="shared" si="7"/>
        <v>2.2900763358778626E-2</v>
      </c>
      <c r="AE9" s="2">
        <f t="shared" si="8"/>
        <v>1.9083969465648856E-2</v>
      </c>
      <c r="AF9" s="6">
        <f t="shared" si="9"/>
        <v>1.0000000000000002</v>
      </c>
    </row>
    <row r="10" spans="1:34" hidden="1">
      <c r="A10" s="6" t="s">
        <v>48</v>
      </c>
      <c r="B10" s="6" t="s">
        <v>5</v>
      </c>
      <c r="C10" s="6">
        <v>550</v>
      </c>
      <c r="D10" s="6"/>
      <c r="E10" s="6"/>
      <c r="F10" s="6"/>
      <c r="J10" s="12"/>
      <c r="L10" s="2">
        <v>160</v>
      </c>
      <c r="M10" s="2">
        <v>160</v>
      </c>
      <c r="N10" s="2">
        <v>160</v>
      </c>
      <c r="O10" s="2"/>
      <c r="P10" s="2"/>
      <c r="Q10" s="2"/>
      <c r="R10" s="2">
        <f t="shared" si="0"/>
        <v>160</v>
      </c>
      <c r="S10" s="2">
        <f t="shared" si="1"/>
        <v>208</v>
      </c>
      <c r="T10" s="2">
        <f t="shared" si="2"/>
        <v>160</v>
      </c>
      <c r="U10" s="3">
        <f t="shared" si="3"/>
        <v>528</v>
      </c>
      <c r="V10" s="2">
        <v>12</v>
      </c>
      <c r="W10" s="2">
        <v>10</v>
      </c>
      <c r="X10" s="2"/>
      <c r="Y10" s="2"/>
      <c r="Z10" s="2"/>
      <c r="AA10" s="2">
        <f t="shared" si="4"/>
        <v>0.29090909090909089</v>
      </c>
      <c r="AB10" s="2">
        <f t="shared" si="5"/>
        <v>0.37818181818181817</v>
      </c>
      <c r="AC10" s="2">
        <f t="shared" si="6"/>
        <v>0.29090909090909089</v>
      </c>
      <c r="AD10" s="2">
        <f t="shared" si="7"/>
        <v>2.181818181818182E-2</v>
      </c>
      <c r="AE10" s="2">
        <f t="shared" si="8"/>
        <v>1.8181818181818181E-2</v>
      </c>
      <c r="AF10" s="6">
        <f t="shared" si="9"/>
        <v>1</v>
      </c>
    </row>
    <row r="11" spans="1:34">
      <c r="A11" s="6" t="s">
        <v>49</v>
      </c>
      <c r="B11" s="6" t="s">
        <v>2</v>
      </c>
      <c r="C11" s="6">
        <v>365</v>
      </c>
      <c r="D11" s="6" t="s">
        <v>39</v>
      </c>
      <c r="E11" s="6" t="s">
        <v>35</v>
      </c>
      <c r="F11" s="6" t="s">
        <v>36</v>
      </c>
      <c r="J11" s="12"/>
      <c r="L11" s="2">
        <v>120</v>
      </c>
      <c r="M11" s="2">
        <v>95</v>
      </c>
      <c r="N11" s="2">
        <v>100</v>
      </c>
      <c r="O11" s="2"/>
      <c r="P11" s="2"/>
      <c r="Q11" s="2"/>
      <c r="R11" s="2">
        <f t="shared" si="0"/>
        <v>120</v>
      </c>
      <c r="S11" s="2">
        <f t="shared" si="1"/>
        <v>123.5</v>
      </c>
      <c r="T11" s="2">
        <f t="shared" si="2"/>
        <v>100</v>
      </c>
      <c r="U11" s="3">
        <f t="shared" si="3"/>
        <v>343.5</v>
      </c>
      <c r="V11" s="2">
        <v>11.5</v>
      </c>
      <c r="W11" s="2">
        <v>10</v>
      </c>
      <c r="X11" s="2"/>
      <c r="Y11" s="2"/>
      <c r="Z11" s="2"/>
      <c r="AA11" s="2">
        <f t="shared" si="4"/>
        <v>0.32876712328767121</v>
      </c>
      <c r="AB11" s="2">
        <f t="shared" si="5"/>
        <v>0.33835616438356164</v>
      </c>
      <c r="AC11" s="2">
        <f t="shared" si="6"/>
        <v>0.27397260273972601</v>
      </c>
      <c r="AD11" s="2">
        <f t="shared" si="7"/>
        <v>3.1506849315068496E-2</v>
      </c>
      <c r="AE11" s="2">
        <f t="shared" si="8"/>
        <v>2.7397260273972601E-2</v>
      </c>
      <c r="AF11" s="6">
        <f t="shared" si="9"/>
        <v>1</v>
      </c>
    </row>
    <row r="12" spans="1:34">
      <c r="A12" s="6" t="s">
        <v>50</v>
      </c>
      <c r="B12" s="6" t="s">
        <v>2</v>
      </c>
      <c r="C12" s="6">
        <v>405</v>
      </c>
      <c r="D12" s="6" t="s">
        <v>39</v>
      </c>
      <c r="E12" s="6" t="s">
        <v>40</v>
      </c>
      <c r="F12" s="6" t="s">
        <v>41</v>
      </c>
      <c r="J12" s="12"/>
      <c r="L12" s="2">
        <v>120</v>
      </c>
      <c r="M12" s="2">
        <v>110</v>
      </c>
      <c r="N12" s="2">
        <v>120</v>
      </c>
      <c r="O12" s="2"/>
      <c r="P12" s="2"/>
      <c r="Q12" s="2"/>
      <c r="R12" s="2">
        <f t="shared" si="0"/>
        <v>120</v>
      </c>
      <c r="S12" s="2">
        <f t="shared" si="1"/>
        <v>143</v>
      </c>
      <c r="T12" s="2">
        <f t="shared" si="2"/>
        <v>120</v>
      </c>
      <c r="U12" s="3">
        <f t="shared" si="3"/>
        <v>383</v>
      </c>
      <c r="V12" s="2">
        <v>12</v>
      </c>
      <c r="W12" s="2">
        <v>10</v>
      </c>
      <c r="X12" s="2"/>
      <c r="Y12" s="2"/>
      <c r="Z12" s="2"/>
      <c r="AA12" s="2">
        <f t="shared" si="4"/>
        <v>0.29629629629629628</v>
      </c>
      <c r="AB12" s="2">
        <f t="shared" si="5"/>
        <v>0.35308641975308641</v>
      </c>
      <c r="AC12" s="2">
        <f t="shared" si="6"/>
        <v>0.29629629629629628</v>
      </c>
      <c r="AD12" s="2">
        <f t="shared" si="7"/>
        <v>2.9629629629629631E-2</v>
      </c>
      <c r="AE12" s="2">
        <f t="shared" si="8"/>
        <v>2.4691358024691357E-2</v>
      </c>
      <c r="AF12" s="6">
        <f t="shared" si="9"/>
        <v>1</v>
      </c>
    </row>
    <row r="13" spans="1:34">
      <c r="A13" s="6" t="s">
        <v>51</v>
      </c>
      <c r="B13" s="6" t="s">
        <v>2</v>
      </c>
      <c r="C13" s="6">
        <v>445</v>
      </c>
      <c r="D13" s="6" t="s">
        <v>39</v>
      </c>
      <c r="E13" s="6" t="s">
        <v>40</v>
      </c>
      <c r="F13" s="6" t="s">
        <v>37</v>
      </c>
      <c r="J13" s="12"/>
      <c r="L13" s="2">
        <v>120</v>
      </c>
      <c r="M13" s="2">
        <v>110</v>
      </c>
      <c r="N13" s="2">
        <v>160</v>
      </c>
      <c r="O13" s="2"/>
      <c r="P13" s="2"/>
      <c r="Q13" s="2"/>
      <c r="R13" s="2">
        <f t="shared" si="0"/>
        <v>120</v>
      </c>
      <c r="S13" s="2">
        <f t="shared" si="1"/>
        <v>143</v>
      </c>
      <c r="T13" s="2">
        <f t="shared" si="2"/>
        <v>160</v>
      </c>
      <c r="U13" s="3">
        <f t="shared" si="3"/>
        <v>423</v>
      </c>
      <c r="V13" s="2">
        <v>12</v>
      </c>
      <c r="W13" s="2">
        <v>10</v>
      </c>
      <c r="X13" s="2"/>
      <c r="Y13" s="2"/>
      <c r="Z13" s="2"/>
      <c r="AA13" s="2">
        <f t="shared" si="4"/>
        <v>0.2696629213483146</v>
      </c>
      <c r="AB13" s="2">
        <f t="shared" si="5"/>
        <v>0.32134831460674157</v>
      </c>
      <c r="AC13" s="2">
        <f t="shared" si="6"/>
        <v>0.3595505617977528</v>
      </c>
      <c r="AD13" s="2">
        <f t="shared" si="7"/>
        <v>2.6966292134831461E-2</v>
      </c>
      <c r="AE13" s="2">
        <f t="shared" si="8"/>
        <v>2.247191011235955E-2</v>
      </c>
      <c r="AF13" s="6">
        <f t="shared" si="9"/>
        <v>1</v>
      </c>
    </row>
    <row r="14" spans="1:34">
      <c r="A14" s="7" t="s">
        <v>16</v>
      </c>
      <c r="B14" s="7" t="s">
        <v>15</v>
      </c>
      <c r="C14" s="7" t="s">
        <v>14</v>
      </c>
      <c r="D14" s="7" t="s">
        <v>6</v>
      </c>
      <c r="E14" s="7" t="s">
        <v>7</v>
      </c>
      <c r="F14" s="7" t="s">
        <v>6</v>
      </c>
      <c r="J14" s="11"/>
      <c r="L14" s="3" t="s">
        <v>6</v>
      </c>
      <c r="M14" s="3" t="s">
        <v>7</v>
      </c>
      <c r="N14" s="3" t="s">
        <v>8</v>
      </c>
      <c r="O14" s="3"/>
      <c r="P14" s="3"/>
      <c r="Q14" s="3"/>
      <c r="R14" s="3" t="s">
        <v>6</v>
      </c>
      <c r="S14" s="3" t="s">
        <v>7</v>
      </c>
      <c r="T14" s="3" t="s">
        <v>6</v>
      </c>
      <c r="U14" s="3" t="s">
        <v>12</v>
      </c>
      <c r="V14" s="3" t="s">
        <v>11</v>
      </c>
      <c r="W14" s="3" t="s">
        <v>13</v>
      </c>
      <c r="X14" s="3"/>
      <c r="Y14" s="3"/>
      <c r="Z14" s="3"/>
      <c r="AA14" s="3" t="s">
        <v>6</v>
      </c>
      <c r="AB14" s="3" t="s">
        <v>7</v>
      </c>
      <c r="AC14" s="3" t="s">
        <v>6</v>
      </c>
      <c r="AD14" s="3" t="s">
        <v>11</v>
      </c>
      <c r="AE14" s="3" t="s">
        <v>13</v>
      </c>
      <c r="AF14" s="7" t="s">
        <v>12</v>
      </c>
    </row>
    <row r="15" spans="1:34">
      <c r="A15" s="6" t="s">
        <v>52</v>
      </c>
      <c r="B15" s="6" t="s">
        <v>1</v>
      </c>
      <c r="C15" s="6">
        <v>355</v>
      </c>
      <c r="D15" s="6" t="s">
        <v>36</v>
      </c>
      <c r="E15" s="6" t="s">
        <v>35</v>
      </c>
      <c r="F15" s="6" t="s">
        <v>36</v>
      </c>
      <c r="J15" s="12"/>
      <c r="L15" s="2">
        <v>100</v>
      </c>
      <c r="M15" s="2">
        <v>95</v>
      </c>
      <c r="N15" s="2">
        <v>100</v>
      </c>
      <c r="O15" s="2"/>
      <c r="P15" s="2"/>
      <c r="Q15" s="2"/>
      <c r="R15" s="2">
        <f t="shared" si="0"/>
        <v>100</v>
      </c>
      <c r="S15" s="2">
        <f t="shared" ref="S15:S23" si="10">M15*1.4</f>
        <v>133</v>
      </c>
      <c r="T15" s="2">
        <f t="shared" si="2"/>
        <v>100</v>
      </c>
      <c r="U15" s="3">
        <f t="shared" ref="U15:U23" si="11">SUM(R15:T15)</f>
        <v>333</v>
      </c>
      <c r="V15" s="2">
        <v>12</v>
      </c>
      <c r="W15" s="2">
        <v>10</v>
      </c>
      <c r="X15" s="2"/>
      <c r="Y15" s="2"/>
      <c r="Z15" s="2"/>
      <c r="AA15" s="2">
        <f t="shared" ref="AA15:AA23" si="12">R15/$C15</f>
        <v>0.28169014084507044</v>
      </c>
      <c r="AB15" s="2">
        <f t="shared" ref="AB15:AB23" si="13">S15/$C15</f>
        <v>0.37464788732394366</v>
      </c>
      <c r="AC15" s="2">
        <f t="shared" ref="AC15:AC23" si="14">T15/$C15</f>
        <v>0.28169014084507044</v>
      </c>
      <c r="AD15" s="2">
        <f t="shared" ref="AD15:AD23" si="15">V15/$C15</f>
        <v>3.3802816901408447E-2</v>
      </c>
      <c r="AE15" s="2">
        <f t="shared" ref="AE15:AE23" si="16">W15/$C15</f>
        <v>2.8169014084507043E-2</v>
      </c>
      <c r="AF15" s="6">
        <f t="shared" si="9"/>
        <v>1</v>
      </c>
    </row>
    <row r="16" spans="1:34" hidden="1">
      <c r="A16" s="6" t="s">
        <v>53</v>
      </c>
      <c r="B16" s="6" t="s">
        <v>1</v>
      </c>
      <c r="C16" s="6">
        <v>396</v>
      </c>
      <c r="D16" s="6"/>
      <c r="E16" s="6"/>
      <c r="F16" s="6"/>
      <c r="J16" s="12"/>
      <c r="L16" s="2">
        <v>110</v>
      </c>
      <c r="M16" s="2">
        <v>110</v>
      </c>
      <c r="N16" s="2">
        <v>110</v>
      </c>
      <c r="O16" s="2"/>
      <c r="P16" s="2"/>
      <c r="Q16" s="2"/>
      <c r="R16" s="2">
        <f t="shared" si="0"/>
        <v>110</v>
      </c>
      <c r="S16" s="2">
        <f t="shared" si="10"/>
        <v>154</v>
      </c>
      <c r="T16" s="2">
        <f t="shared" si="2"/>
        <v>110</v>
      </c>
      <c r="U16" s="3">
        <f t="shared" si="11"/>
        <v>374</v>
      </c>
      <c r="V16" s="2">
        <v>12</v>
      </c>
      <c r="W16" s="2">
        <v>10</v>
      </c>
      <c r="X16" s="2"/>
      <c r="Y16" s="2"/>
      <c r="Z16" s="2"/>
      <c r="AA16" s="2">
        <f t="shared" si="12"/>
        <v>0.27777777777777779</v>
      </c>
      <c r="AB16" s="2">
        <f t="shared" si="13"/>
        <v>0.3888888888888889</v>
      </c>
      <c r="AC16" s="2">
        <f t="shared" si="14"/>
        <v>0.27777777777777779</v>
      </c>
      <c r="AD16" s="2">
        <f t="shared" si="15"/>
        <v>3.0303030303030304E-2</v>
      </c>
      <c r="AE16" s="2">
        <f t="shared" si="16"/>
        <v>2.5252525252525252E-2</v>
      </c>
      <c r="AF16" s="6">
        <f t="shared" si="9"/>
        <v>1</v>
      </c>
    </row>
    <row r="17" spans="1:34" hidden="1">
      <c r="A17" s="6" t="s">
        <v>54</v>
      </c>
      <c r="B17" s="6" t="s">
        <v>1</v>
      </c>
      <c r="C17" s="6">
        <v>458</v>
      </c>
      <c r="D17" s="6"/>
      <c r="E17" s="6"/>
      <c r="F17" s="6"/>
      <c r="J17" s="12"/>
      <c r="L17" s="2">
        <v>120</v>
      </c>
      <c r="M17" s="2">
        <v>140</v>
      </c>
      <c r="N17" s="2">
        <v>120</v>
      </c>
      <c r="O17" s="2"/>
      <c r="P17" s="2"/>
      <c r="Q17" s="2"/>
      <c r="R17" s="2">
        <f t="shared" si="0"/>
        <v>120</v>
      </c>
      <c r="S17" s="2">
        <f t="shared" si="10"/>
        <v>196</v>
      </c>
      <c r="T17" s="2">
        <f t="shared" si="2"/>
        <v>120</v>
      </c>
      <c r="U17" s="3">
        <f t="shared" si="11"/>
        <v>436</v>
      </c>
      <c r="V17" s="2">
        <v>12</v>
      </c>
      <c r="W17" s="2">
        <v>10</v>
      </c>
      <c r="X17" s="2"/>
      <c r="Y17" s="2"/>
      <c r="Z17" s="2"/>
      <c r="AA17" s="2">
        <f t="shared" si="12"/>
        <v>0.26200873362445415</v>
      </c>
      <c r="AB17" s="2">
        <f t="shared" si="13"/>
        <v>0.42794759825327511</v>
      </c>
      <c r="AC17" s="2">
        <f t="shared" si="14"/>
        <v>0.26200873362445415</v>
      </c>
      <c r="AD17" s="2">
        <f t="shared" si="15"/>
        <v>2.6200873362445413E-2</v>
      </c>
      <c r="AE17" s="2">
        <f t="shared" si="16"/>
        <v>2.1834061135371178E-2</v>
      </c>
      <c r="AF17" s="6">
        <f t="shared" si="9"/>
        <v>1</v>
      </c>
    </row>
    <row r="18" spans="1:34" hidden="1">
      <c r="A18" s="6" t="s">
        <v>55</v>
      </c>
      <c r="B18" s="6" t="s">
        <v>1</v>
      </c>
      <c r="C18" s="6">
        <v>498</v>
      </c>
      <c r="D18" s="6"/>
      <c r="E18" s="6"/>
      <c r="F18" s="6"/>
      <c r="J18" s="12"/>
      <c r="L18" s="2">
        <v>140</v>
      </c>
      <c r="M18" s="2">
        <v>140</v>
      </c>
      <c r="N18" s="2">
        <v>140</v>
      </c>
      <c r="O18" s="2"/>
      <c r="P18" s="2"/>
      <c r="Q18" s="2"/>
      <c r="R18" s="2">
        <f t="shared" si="0"/>
        <v>140</v>
      </c>
      <c r="S18" s="2">
        <f t="shared" si="10"/>
        <v>196</v>
      </c>
      <c r="T18" s="2">
        <f t="shared" si="2"/>
        <v>140</v>
      </c>
      <c r="U18" s="3">
        <f t="shared" si="11"/>
        <v>476</v>
      </c>
      <c r="V18" s="2">
        <v>12</v>
      </c>
      <c r="W18" s="2">
        <v>10</v>
      </c>
      <c r="X18" s="2"/>
      <c r="Y18" s="2"/>
      <c r="Z18" s="2"/>
      <c r="AA18" s="2">
        <f t="shared" si="12"/>
        <v>0.28112449799196787</v>
      </c>
      <c r="AB18" s="2">
        <f t="shared" si="13"/>
        <v>0.39357429718875503</v>
      </c>
      <c r="AC18" s="2">
        <f t="shared" si="14"/>
        <v>0.28112449799196787</v>
      </c>
      <c r="AD18" s="2">
        <f t="shared" si="15"/>
        <v>2.4096385542168676E-2</v>
      </c>
      <c r="AE18" s="2">
        <f t="shared" si="16"/>
        <v>2.0080321285140562E-2</v>
      </c>
      <c r="AF18" s="6">
        <f t="shared" si="9"/>
        <v>0.99999999999999989</v>
      </c>
    </row>
    <row r="19" spans="1:34">
      <c r="A19" s="6" t="s">
        <v>56</v>
      </c>
      <c r="B19" s="6" t="s">
        <v>1</v>
      </c>
      <c r="C19" s="6">
        <v>538</v>
      </c>
      <c r="D19" s="6" t="s">
        <v>37</v>
      </c>
      <c r="E19" s="6" t="s">
        <v>38</v>
      </c>
      <c r="F19" s="6" t="s">
        <v>37</v>
      </c>
      <c r="J19" s="12"/>
      <c r="L19" s="2">
        <v>160</v>
      </c>
      <c r="M19" s="2">
        <v>140</v>
      </c>
      <c r="N19" s="2">
        <v>160</v>
      </c>
      <c r="O19" s="2"/>
      <c r="P19" s="2"/>
      <c r="Q19" s="2"/>
      <c r="R19" s="2">
        <f t="shared" si="0"/>
        <v>160</v>
      </c>
      <c r="S19" s="2">
        <f t="shared" si="10"/>
        <v>196</v>
      </c>
      <c r="T19" s="2">
        <f t="shared" si="2"/>
        <v>160</v>
      </c>
      <c r="U19" s="3">
        <f t="shared" si="11"/>
        <v>516</v>
      </c>
      <c r="V19" s="2">
        <v>12</v>
      </c>
      <c r="W19" s="2">
        <v>10</v>
      </c>
      <c r="X19" s="2"/>
      <c r="Y19" s="2"/>
      <c r="Z19" s="2"/>
      <c r="AA19" s="2">
        <f t="shared" si="12"/>
        <v>0.29739776951672864</v>
      </c>
      <c r="AB19" s="2">
        <f t="shared" si="13"/>
        <v>0.36431226765799257</v>
      </c>
      <c r="AC19" s="2">
        <f t="shared" si="14"/>
        <v>0.29739776951672864</v>
      </c>
      <c r="AD19" s="2">
        <f t="shared" si="15"/>
        <v>2.2304832713754646E-2</v>
      </c>
      <c r="AE19" s="2">
        <f t="shared" si="16"/>
        <v>1.858736059479554E-2</v>
      </c>
      <c r="AF19" s="6">
        <f t="shared" si="9"/>
        <v>0.99999999999999989</v>
      </c>
    </row>
    <row r="20" spans="1:34" hidden="1">
      <c r="A20" s="6" t="s">
        <v>57</v>
      </c>
      <c r="B20" s="6" t="s">
        <v>1</v>
      </c>
      <c r="C20" s="6">
        <v>566</v>
      </c>
      <c r="D20" s="6"/>
      <c r="E20" s="6"/>
      <c r="F20" s="6"/>
      <c r="J20" s="12"/>
      <c r="L20" s="2">
        <v>160</v>
      </c>
      <c r="M20" s="2">
        <v>160</v>
      </c>
      <c r="N20" s="2">
        <v>160</v>
      </c>
      <c r="O20" s="2"/>
      <c r="P20" s="2"/>
      <c r="Q20" s="2"/>
      <c r="R20" s="2">
        <f t="shared" si="0"/>
        <v>160</v>
      </c>
      <c r="S20" s="2">
        <f t="shared" si="10"/>
        <v>224</v>
      </c>
      <c r="T20" s="2">
        <f t="shared" si="2"/>
        <v>160</v>
      </c>
      <c r="U20" s="3">
        <f t="shared" si="11"/>
        <v>544</v>
      </c>
      <c r="V20" s="2">
        <v>12</v>
      </c>
      <c r="W20" s="2">
        <v>10</v>
      </c>
      <c r="X20" s="2"/>
      <c r="Y20" s="2"/>
      <c r="Z20" s="2"/>
      <c r="AA20" s="2">
        <f t="shared" si="12"/>
        <v>0.28268551236749118</v>
      </c>
      <c r="AB20" s="2">
        <f t="shared" si="13"/>
        <v>0.39575971731448761</v>
      </c>
      <c r="AC20" s="2">
        <f t="shared" si="14"/>
        <v>0.28268551236749118</v>
      </c>
      <c r="AD20" s="2">
        <f t="shared" si="15"/>
        <v>2.1201413427561839E-2</v>
      </c>
      <c r="AE20" s="2">
        <f t="shared" si="16"/>
        <v>1.7667844522968199E-2</v>
      </c>
      <c r="AF20" s="6">
        <f t="shared" si="9"/>
        <v>1</v>
      </c>
    </row>
    <row r="21" spans="1:34">
      <c r="A21" s="6" t="s">
        <v>58</v>
      </c>
      <c r="B21" s="6" t="s">
        <v>0</v>
      </c>
      <c r="C21" s="6">
        <v>375</v>
      </c>
      <c r="D21" s="6" t="s">
        <v>39</v>
      </c>
      <c r="E21" s="6" t="s">
        <v>35</v>
      </c>
      <c r="F21" s="6" t="s">
        <v>36</v>
      </c>
      <c r="J21" s="12"/>
      <c r="L21" s="2">
        <v>120</v>
      </c>
      <c r="M21" s="2">
        <v>95</v>
      </c>
      <c r="N21" s="2">
        <v>100</v>
      </c>
      <c r="O21" s="2"/>
      <c r="P21" s="2"/>
      <c r="Q21" s="2"/>
      <c r="R21" s="2">
        <f t="shared" si="0"/>
        <v>120</v>
      </c>
      <c r="S21" s="2">
        <f t="shared" si="10"/>
        <v>133</v>
      </c>
      <c r="T21" s="2">
        <f t="shared" si="2"/>
        <v>100</v>
      </c>
      <c r="U21" s="3">
        <f t="shared" si="11"/>
        <v>353</v>
      </c>
      <c r="V21" s="2">
        <v>12</v>
      </c>
      <c r="W21" s="2">
        <v>10</v>
      </c>
      <c r="X21" s="2"/>
      <c r="Y21" s="2"/>
      <c r="Z21" s="2"/>
      <c r="AA21" s="2">
        <f t="shared" si="12"/>
        <v>0.32</v>
      </c>
      <c r="AB21" s="2">
        <f t="shared" si="13"/>
        <v>0.35466666666666669</v>
      </c>
      <c r="AC21" s="2">
        <f t="shared" si="14"/>
        <v>0.26666666666666666</v>
      </c>
      <c r="AD21" s="2">
        <f t="shared" si="15"/>
        <v>3.2000000000000001E-2</v>
      </c>
      <c r="AE21" s="2">
        <f t="shared" si="16"/>
        <v>2.6666666666666668E-2</v>
      </c>
      <c r="AF21" s="6">
        <f t="shared" si="9"/>
        <v>1</v>
      </c>
    </row>
    <row r="22" spans="1:34">
      <c r="A22" s="6" t="s">
        <v>59</v>
      </c>
      <c r="B22" s="6" t="s">
        <v>0</v>
      </c>
      <c r="C22" s="6">
        <v>416</v>
      </c>
      <c r="D22" s="6" t="s">
        <v>39</v>
      </c>
      <c r="E22" s="6" t="s">
        <v>40</v>
      </c>
      <c r="F22" s="6" t="s">
        <v>41</v>
      </c>
      <c r="J22" s="12"/>
      <c r="L22" s="2">
        <v>120</v>
      </c>
      <c r="M22" s="2">
        <v>110</v>
      </c>
      <c r="N22" s="2">
        <v>120</v>
      </c>
      <c r="O22" s="2"/>
      <c r="P22" s="2"/>
      <c r="Q22" s="2"/>
      <c r="R22" s="2">
        <f t="shared" si="0"/>
        <v>120</v>
      </c>
      <c r="S22" s="2">
        <f t="shared" si="10"/>
        <v>154</v>
      </c>
      <c r="T22" s="2">
        <f t="shared" si="2"/>
        <v>120</v>
      </c>
      <c r="U22" s="3">
        <f t="shared" si="11"/>
        <v>394</v>
      </c>
      <c r="V22" s="2">
        <v>12</v>
      </c>
      <c r="W22" s="2">
        <v>10</v>
      </c>
      <c r="X22" s="2"/>
      <c r="Y22" s="2"/>
      <c r="Z22" s="2"/>
      <c r="AA22" s="2">
        <f t="shared" si="12"/>
        <v>0.28846153846153844</v>
      </c>
      <c r="AB22" s="2">
        <f t="shared" si="13"/>
        <v>0.37019230769230771</v>
      </c>
      <c r="AC22" s="2">
        <f t="shared" si="14"/>
        <v>0.28846153846153844</v>
      </c>
      <c r="AD22" s="2">
        <f t="shared" si="15"/>
        <v>2.8846153846153848E-2</v>
      </c>
      <c r="AE22" s="2">
        <f t="shared" si="16"/>
        <v>2.403846153846154E-2</v>
      </c>
      <c r="AF22" s="6">
        <f t="shared" si="9"/>
        <v>1</v>
      </c>
    </row>
    <row r="23" spans="1:34">
      <c r="A23" s="6" t="s">
        <v>60</v>
      </c>
      <c r="B23" s="6" t="s">
        <v>0</v>
      </c>
      <c r="C23" s="6">
        <v>456</v>
      </c>
      <c r="D23" s="6" t="s">
        <v>39</v>
      </c>
      <c r="E23" s="6" t="s">
        <v>40</v>
      </c>
      <c r="F23" s="6" t="s">
        <v>37</v>
      </c>
      <c r="J23" s="12"/>
      <c r="L23" s="2">
        <v>120</v>
      </c>
      <c r="M23" s="2">
        <v>110</v>
      </c>
      <c r="N23" s="2">
        <v>160</v>
      </c>
      <c r="O23" s="2"/>
      <c r="P23" s="2"/>
      <c r="Q23" s="2"/>
      <c r="R23" s="2">
        <f t="shared" si="0"/>
        <v>120</v>
      </c>
      <c r="S23" s="2">
        <f t="shared" si="10"/>
        <v>154</v>
      </c>
      <c r="T23" s="2">
        <f t="shared" si="2"/>
        <v>160</v>
      </c>
      <c r="U23" s="3">
        <f t="shared" si="11"/>
        <v>434</v>
      </c>
      <c r="V23" s="2">
        <v>12</v>
      </c>
      <c r="W23" s="2">
        <v>10</v>
      </c>
      <c r="X23" s="2"/>
      <c r="Y23" s="2"/>
      <c r="Z23" s="2"/>
      <c r="AA23" s="2">
        <f t="shared" si="12"/>
        <v>0.26315789473684209</v>
      </c>
      <c r="AB23" s="2">
        <f t="shared" si="13"/>
        <v>0.33771929824561403</v>
      </c>
      <c r="AC23" s="2">
        <f t="shared" si="14"/>
        <v>0.35087719298245612</v>
      </c>
      <c r="AD23" s="2">
        <f t="shared" si="15"/>
        <v>2.6315789473684209E-2</v>
      </c>
      <c r="AE23" s="2">
        <f t="shared" si="16"/>
        <v>2.1929824561403508E-2</v>
      </c>
      <c r="AF23" s="6">
        <f t="shared" si="9"/>
        <v>0.99999999999999989</v>
      </c>
    </row>
    <row r="24" spans="1:34">
      <c r="A24" s="5"/>
    </row>
    <row r="25" spans="1:34">
      <c r="A25" s="5"/>
      <c r="B25" s="7" t="s">
        <v>15</v>
      </c>
      <c r="C25" s="7" t="s">
        <v>14</v>
      </c>
      <c r="D25" s="7" t="s">
        <v>6</v>
      </c>
      <c r="E25" s="7" t="s">
        <v>7</v>
      </c>
      <c r="F25" s="7" t="s">
        <v>6</v>
      </c>
      <c r="G25" s="7" t="s">
        <v>7</v>
      </c>
      <c r="H25" s="7" t="s">
        <v>6</v>
      </c>
      <c r="J25" s="11"/>
      <c r="L25" s="3"/>
      <c r="M25" s="3"/>
      <c r="N25" s="3"/>
      <c r="O25" s="3"/>
      <c r="P25" s="3"/>
      <c r="Q25" s="3"/>
      <c r="R25" s="3" t="s">
        <v>6</v>
      </c>
      <c r="S25" s="3" t="s">
        <v>7</v>
      </c>
      <c r="T25" s="3" t="s">
        <v>6</v>
      </c>
      <c r="U25" s="3" t="s">
        <v>7</v>
      </c>
      <c r="V25" s="3" t="s">
        <v>6</v>
      </c>
      <c r="W25" s="3" t="s">
        <v>12</v>
      </c>
      <c r="X25" s="3" t="s">
        <v>11</v>
      </c>
      <c r="Y25" s="3" t="s">
        <v>13</v>
      </c>
      <c r="Z25" s="3"/>
      <c r="AA25" s="3" t="s">
        <v>6</v>
      </c>
      <c r="AB25" s="3" t="s">
        <v>7</v>
      </c>
      <c r="AC25" s="3" t="s">
        <v>6</v>
      </c>
      <c r="AD25" s="3" t="s">
        <v>7</v>
      </c>
      <c r="AE25" s="3" t="s">
        <v>6</v>
      </c>
      <c r="AF25" s="3" t="s">
        <v>11</v>
      </c>
      <c r="AG25" s="3" t="s">
        <v>13</v>
      </c>
      <c r="AH25" s="7" t="s">
        <v>12</v>
      </c>
    </row>
    <row r="26" spans="1:34">
      <c r="A26" s="10" t="s">
        <v>61</v>
      </c>
      <c r="B26" s="6" t="s">
        <v>9</v>
      </c>
      <c r="C26" s="6">
        <v>585</v>
      </c>
      <c r="D26" s="6" t="s">
        <v>36</v>
      </c>
      <c r="E26" s="6" t="s">
        <v>35</v>
      </c>
      <c r="F26" s="6" t="s">
        <v>35</v>
      </c>
      <c r="G26" s="6" t="s">
        <v>35</v>
      </c>
      <c r="H26" s="6" t="s">
        <v>36</v>
      </c>
      <c r="J26" s="12"/>
      <c r="L26" s="2">
        <v>100</v>
      </c>
      <c r="M26" s="2">
        <v>95</v>
      </c>
      <c r="N26" s="2">
        <v>95</v>
      </c>
      <c r="O26" s="2">
        <v>95</v>
      </c>
      <c r="P26" s="2">
        <v>100</v>
      </c>
      <c r="Q26" s="2"/>
      <c r="R26" s="2">
        <f t="shared" si="0"/>
        <v>100</v>
      </c>
      <c r="S26" s="2">
        <f>M26*1.3</f>
        <v>123.5</v>
      </c>
      <c r="T26" s="2">
        <f>N26</f>
        <v>95</v>
      </c>
      <c r="U26" s="4">
        <f>O26*1.4</f>
        <v>133</v>
      </c>
      <c r="V26" s="2">
        <f>P26</f>
        <v>100</v>
      </c>
      <c r="W26" s="3">
        <f>SUM(R26:V26)</f>
        <v>551.5</v>
      </c>
      <c r="X26" s="2">
        <v>23.5</v>
      </c>
      <c r="Y26" s="2">
        <v>10</v>
      </c>
      <c r="Z26" s="2"/>
      <c r="AA26" s="2">
        <f t="shared" ref="AA26:AE30" si="17">R26/$C26</f>
        <v>0.17094017094017094</v>
      </c>
      <c r="AB26" s="2">
        <f t="shared" si="17"/>
        <v>0.21111111111111111</v>
      </c>
      <c r="AC26" s="2">
        <f t="shared" si="17"/>
        <v>0.1623931623931624</v>
      </c>
      <c r="AD26" s="2">
        <f t="shared" si="17"/>
        <v>0.22735042735042735</v>
      </c>
      <c r="AE26" s="2">
        <f t="shared" si="17"/>
        <v>0.17094017094017094</v>
      </c>
      <c r="AF26" s="2">
        <f t="shared" ref="AF26:AG30" si="18">X26/$C26</f>
        <v>4.0170940170940174E-2</v>
      </c>
      <c r="AG26" s="2">
        <f t="shared" si="18"/>
        <v>1.7094017094017096E-2</v>
      </c>
      <c r="AH26" s="6">
        <f>SUM(AA26:AG26)</f>
        <v>1</v>
      </c>
    </row>
    <row r="27" spans="1:34">
      <c r="A27" s="10" t="s">
        <v>62</v>
      </c>
      <c r="B27" s="6" t="s">
        <v>9</v>
      </c>
      <c r="C27" s="6">
        <v>666</v>
      </c>
      <c r="D27" s="6" t="s">
        <v>41</v>
      </c>
      <c r="E27" s="6" t="s">
        <v>40</v>
      </c>
      <c r="F27" s="6" t="s">
        <v>35</v>
      </c>
      <c r="G27" s="6" t="s">
        <v>40</v>
      </c>
      <c r="H27" s="6" t="s">
        <v>41</v>
      </c>
      <c r="J27" s="12"/>
      <c r="L27" s="2">
        <v>120</v>
      </c>
      <c r="M27" s="2">
        <v>110</v>
      </c>
      <c r="N27" s="2">
        <v>95</v>
      </c>
      <c r="O27" s="2">
        <v>110</v>
      </c>
      <c r="P27" s="2">
        <v>120</v>
      </c>
      <c r="Q27" s="2"/>
      <c r="R27" s="2">
        <f t="shared" si="0"/>
        <v>120</v>
      </c>
      <c r="S27" s="2">
        <f>M27*1.3</f>
        <v>143</v>
      </c>
      <c r="T27" s="2">
        <f t="shared" ref="T27:T30" si="19">N27</f>
        <v>95</v>
      </c>
      <c r="U27" s="4">
        <f t="shared" ref="U27:U30" si="20">O27*1.4</f>
        <v>154</v>
      </c>
      <c r="V27" s="2">
        <f t="shared" ref="V27:V30" si="21">P27</f>
        <v>120</v>
      </c>
      <c r="W27" s="3">
        <f t="shared" ref="W27:W30" si="22">SUM(R27:V27)</f>
        <v>632</v>
      </c>
      <c r="X27" s="2">
        <v>24</v>
      </c>
      <c r="Y27" s="2">
        <v>10</v>
      </c>
      <c r="Z27" s="2"/>
      <c r="AA27" s="2">
        <f t="shared" si="17"/>
        <v>0.18018018018018017</v>
      </c>
      <c r="AB27" s="2">
        <f t="shared" si="17"/>
        <v>0.21471471471471471</v>
      </c>
      <c r="AC27" s="2">
        <f t="shared" si="17"/>
        <v>0.14264264264264265</v>
      </c>
      <c r="AD27" s="2">
        <f t="shared" si="17"/>
        <v>0.23123123123123124</v>
      </c>
      <c r="AE27" s="2">
        <f t="shared" si="17"/>
        <v>0.18018018018018017</v>
      </c>
      <c r="AF27" s="2">
        <f t="shared" si="18"/>
        <v>3.6036036036036036E-2</v>
      </c>
      <c r="AG27" s="2">
        <f t="shared" si="18"/>
        <v>1.5015015015015015E-2</v>
      </c>
      <c r="AH27" s="6">
        <f t="shared" ref="AH27:AH30" si="23">SUM(AA27:AG27)</f>
        <v>0.99999999999999989</v>
      </c>
    </row>
    <row r="28" spans="1:34">
      <c r="A28" s="10" t="s">
        <v>63</v>
      </c>
      <c r="B28" s="6" t="s">
        <v>9</v>
      </c>
      <c r="C28" s="6">
        <v>706</v>
      </c>
      <c r="D28" s="6" t="s">
        <v>42</v>
      </c>
      <c r="E28" s="6" t="s">
        <v>40</v>
      </c>
      <c r="F28" s="6" t="s">
        <v>35</v>
      </c>
      <c r="G28" s="6" t="s">
        <v>40</v>
      </c>
      <c r="H28" s="6" t="s">
        <v>42</v>
      </c>
      <c r="J28" s="12"/>
      <c r="L28" s="2">
        <v>140</v>
      </c>
      <c r="M28" s="2">
        <v>110</v>
      </c>
      <c r="N28" s="2">
        <v>95</v>
      </c>
      <c r="O28" s="2">
        <v>110</v>
      </c>
      <c r="P28" s="2">
        <v>140</v>
      </c>
      <c r="Q28" s="2"/>
      <c r="R28" s="2">
        <f t="shared" si="0"/>
        <v>140</v>
      </c>
      <c r="S28" s="2">
        <f>M28*1.3</f>
        <v>143</v>
      </c>
      <c r="T28" s="2">
        <f t="shared" si="19"/>
        <v>95</v>
      </c>
      <c r="U28" s="4">
        <f t="shared" si="20"/>
        <v>154</v>
      </c>
      <c r="V28" s="2">
        <f t="shared" si="21"/>
        <v>140</v>
      </c>
      <c r="W28" s="3">
        <f t="shared" si="22"/>
        <v>672</v>
      </c>
      <c r="X28" s="2">
        <v>24</v>
      </c>
      <c r="Y28" s="2">
        <v>10</v>
      </c>
      <c r="Z28" s="2"/>
      <c r="AA28" s="2">
        <f t="shared" si="17"/>
        <v>0.19830028328611898</v>
      </c>
      <c r="AB28" s="2">
        <f t="shared" si="17"/>
        <v>0.20254957507082152</v>
      </c>
      <c r="AC28" s="2">
        <f t="shared" si="17"/>
        <v>0.13456090651558072</v>
      </c>
      <c r="AD28" s="2">
        <f t="shared" si="17"/>
        <v>0.21813031161473087</v>
      </c>
      <c r="AE28" s="2">
        <f t="shared" si="17"/>
        <v>0.19830028328611898</v>
      </c>
      <c r="AF28" s="2">
        <f t="shared" si="18"/>
        <v>3.39943342776204E-2</v>
      </c>
      <c r="AG28" s="2">
        <f t="shared" si="18"/>
        <v>1.4164305949008499E-2</v>
      </c>
      <c r="AH28" s="6">
        <f t="shared" si="23"/>
        <v>1</v>
      </c>
    </row>
    <row r="29" spans="1:34">
      <c r="A29" s="10" t="s">
        <v>64</v>
      </c>
      <c r="B29" s="6" t="s">
        <v>9</v>
      </c>
      <c r="C29" s="6">
        <v>787</v>
      </c>
      <c r="D29" s="6" t="s">
        <v>42</v>
      </c>
      <c r="E29" s="6" t="s">
        <v>38</v>
      </c>
      <c r="F29" s="6" t="s">
        <v>35</v>
      </c>
      <c r="G29" s="6" t="s">
        <v>38</v>
      </c>
      <c r="H29" s="6" t="s">
        <v>42</v>
      </c>
      <c r="J29" s="12"/>
      <c r="L29" s="2">
        <v>140</v>
      </c>
      <c r="M29" s="2">
        <v>140</v>
      </c>
      <c r="N29" s="2">
        <v>95</v>
      </c>
      <c r="O29" s="2">
        <v>140</v>
      </c>
      <c r="P29" s="2">
        <v>140</v>
      </c>
      <c r="Q29" s="2"/>
      <c r="R29" s="2">
        <f t="shared" si="0"/>
        <v>140</v>
      </c>
      <c r="S29" s="2">
        <f>M29*1.3</f>
        <v>182</v>
      </c>
      <c r="T29" s="2">
        <f t="shared" si="19"/>
        <v>95</v>
      </c>
      <c r="U29" s="4">
        <f t="shared" si="20"/>
        <v>196</v>
      </c>
      <c r="V29" s="2">
        <f t="shared" si="21"/>
        <v>140</v>
      </c>
      <c r="W29" s="3">
        <f t="shared" si="22"/>
        <v>753</v>
      </c>
      <c r="X29" s="2">
        <v>24</v>
      </c>
      <c r="Y29" s="2">
        <v>10</v>
      </c>
      <c r="Z29" s="2"/>
      <c r="AA29" s="2">
        <f t="shared" si="17"/>
        <v>0.17789072426937738</v>
      </c>
      <c r="AB29" s="2">
        <f t="shared" si="17"/>
        <v>0.23125794155019061</v>
      </c>
      <c r="AC29" s="2">
        <f t="shared" si="17"/>
        <v>0.1207115628970775</v>
      </c>
      <c r="AD29" s="2">
        <f t="shared" si="17"/>
        <v>0.24904701397712833</v>
      </c>
      <c r="AE29" s="2">
        <f t="shared" si="17"/>
        <v>0.17789072426937738</v>
      </c>
      <c r="AF29" s="2">
        <f t="shared" si="18"/>
        <v>3.0495552731893267E-2</v>
      </c>
      <c r="AG29" s="2">
        <f t="shared" si="18"/>
        <v>1.2706480304955527E-2</v>
      </c>
      <c r="AH29" s="6">
        <f t="shared" si="23"/>
        <v>1</v>
      </c>
    </row>
    <row r="30" spans="1:34">
      <c r="A30" s="10" t="s">
        <v>65</v>
      </c>
      <c r="B30" s="6" t="s">
        <v>10</v>
      </c>
      <c r="C30" s="6">
        <v>625</v>
      </c>
      <c r="D30" s="6" t="s">
        <v>39</v>
      </c>
      <c r="E30" s="6" t="s">
        <v>35</v>
      </c>
      <c r="F30" s="6" t="s">
        <v>35</v>
      </c>
      <c r="G30" s="6" t="s">
        <v>35</v>
      </c>
      <c r="H30" s="6" t="s">
        <v>41</v>
      </c>
      <c r="J30" s="12"/>
      <c r="L30" s="2">
        <v>120</v>
      </c>
      <c r="M30" s="2">
        <v>95</v>
      </c>
      <c r="N30" s="2">
        <v>95</v>
      </c>
      <c r="O30" s="2">
        <v>95</v>
      </c>
      <c r="P30" s="2">
        <v>120</v>
      </c>
      <c r="Q30" s="2"/>
      <c r="R30" s="2">
        <f t="shared" si="0"/>
        <v>120</v>
      </c>
      <c r="S30" s="2">
        <f>M30*1.3</f>
        <v>123.5</v>
      </c>
      <c r="T30" s="2">
        <f t="shared" si="19"/>
        <v>95</v>
      </c>
      <c r="U30" s="4">
        <f t="shared" si="20"/>
        <v>133</v>
      </c>
      <c r="V30" s="2">
        <f t="shared" si="21"/>
        <v>120</v>
      </c>
      <c r="W30" s="3">
        <f t="shared" si="22"/>
        <v>591.5</v>
      </c>
      <c r="X30" s="2">
        <v>23.5</v>
      </c>
      <c r="Y30" s="2">
        <v>10</v>
      </c>
      <c r="Z30" s="2"/>
      <c r="AA30" s="2">
        <f t="shared" si="17"/>
        <v>0.192</v>
      </c>
      <c r="AB30" s="2">
        <f t="shared" si="17"/>
        <v>0.1976</v>
      </c>
      <c r="AC30" s="2">
        <f t="shared" si="17"/>
        <v>0.152</v>
      </c>
      <c r="AD30" s="2">
        <f t="shared" si="17"/>
        <v>0.21279999999999999</v>
      </c>
      <c r="AE30" s="2">
        <f t="shared" si="17"/>
        <v>0.192</v>
      </c>
      <c r="AF30" s="2">
        <f t="shared" si="18"/>
        <v>3.7600000000000001E-2</v>
      </c>
      <c r="AG30" s="2">
        <f t="shared" si="18"/>
        <v>1.6E-2</v>
      </c>
      <c r="AH30" s="6">
        <f t="shared" si="23"/>
        <v>0.99999999999999989</v>
      </c>
    </row>
  </sheetData>
  <mergeCells count="1">
    <mergeCell ref="A2:AH2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30"/>
  <sheetViews>
    <sheetView workbookViewId="0">
      <selection activeCell="E15" sqref="E15"/>
    </sheetView>
  </sheetViews>
  <sheetFormatPr defaultRowHeight="15"/>
  <cols>
    <col min="2" max="2" width="6.5703125" style="5" customWidth="1"/>
    <col min="3" max="3" width="6.7109375" style="5" customWidth="1"/>
    <col min="4" max="8" width="6.28515625" style="5" customWidth="1"/>
    <col min="9" max="9" width="6.5703125" style="5" customWidth="1"/>
    <col min="10" max="11" width="9.140625" hidden="1" customWidth="1"/>
    <col min="12" max="12" width="10" hidden="1" customWidth="1"/>
    <col min="13" max="13" width="11.140625" hidden="1" customWidth="1"/>
    <col min="14" max="18" width="9.140625" hidden="1" customWidth="1"/>
    <col min="19" max="19" width="9.140625" style="1" hidden="1" customWidth="1"/>
    <col min="20" max="24" width="9.140625" hidden="1" customWidth="1"/>
  </cols>
  <sheetData>
    <row r="2" spans="1:32" ht="21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4" spans="1:32" s="1" customFormat="1">
      <c r="A4" s="7" t="s">
        <v>16</v>
      </c>
      <c r="B4" s="7" t="s">
        <v>15</v>
      </c>
      <c r="C4" s="7" t="s">
        <v>14</v>
      </c>
      <c r="D4" s="7" t="s">
        <v>6</v>
      </c>
      <c r="E4" s="7" t="s">
        <v>7</v>
      </c>
      <c r="F4" s="7" t="s">
        <v>6</v>
      </c>
      <c r="G4" s="5"/>
      <c r="I4" s="5"/>
      <c r="J4" s="3" t="s">
        <v>6</v>
      </c>
      <c r="K4" s="3" t="s">
        <v>7</v>
      </c>
      <c r="L4" s="3" t="s">
        <v>8</v>
      </c>
      <c r="M4" s="3"/>
      <c r="N4" s="3"/>
      <c r="O4" s="3"/>
      <c r="P4" s="3" t="s">
        <v>6</v>
      </c>
      <c r="Q4" s="3" t="s">
        <v>7</v>
      </c>
      <c r="R4" s="3" t="s">
        <v>6</v>
      </c>
      <c r="S4" s="3" t="s">
        <v>12</v>
      </c>
      <c r="T4" s="3" t="s">
        <v>11</v>
      </c>
      <c r="U4" s="3" t="s">
        <v>13</v>
      </c>
      <c r="V4" s="3"/>
      <c r="W4" s="3"/>
      <c r="X4" s="3"/>
      <c r="Y4" s="3" t="s">
        <v>6</v>
      </c>
      <c r="Z4" s="3" t="s">
        <v>7</v>
      </c>
      <c r="AA4" s="3" t="s">
        <v>6</v>
      </c>
      <c r="AB4" s="3" t="s">
        <v>11</v>
      </c>
      <c r="AC4" s="3" t="s">
        <v>13</v>
      </c>
      <c r="AD4" s="7" t="s">
        <v>12</v>
      </c>
    </row>
    <row r="5" spans="1:32">
      <c r="A5" s="6" t="s">
        <v>66</v>
      </c>
      <c r="B5" s="6" t="s">
        <v>5</v>
      </c>
      <c r="C5" s="6">
        <v>355</v>
      </c>
      <c r="D5" s="6" t="s">
        <v>36</v>
      </c>
      <c r="E5" s="6" t="s">
        <v>35</v>
      </c>
      <c r="F5" s="6" t="s">
        <v>36</v>
      </c>
      <c r="J5" s="2">
        <v>100</v>
      </c>
      <c r="K5" s="2">
        <v>95</v>
      </c>
      <c r="L5" s="2">
        <v>100</v>
      </c>
      <c r="M5" s="2"/>
      <c r="N5" s="2"/>
      <c r="O5" s="2"/>
      <c r="P5" s="2">
        <f t="shared" ref="P5:P30" si="0">J5</f>
        <v>100</v>
      </c>
      <c r="Q5" s="2">
        <f t="shared" ref="Q5:Q13" si="1">K5*1.3</f>
        <v>123.5</v>
      </c>
      <c r="R5" s="2">
        <f t="shared" ref="R5:R23" si="2">L5</f>
        <v>100</v>
      </c>
      <c r="S5" s="3">
        <f t="shared" ref="S5:S13" si="3">SUM(P5:R5)</f>
        <v>323.5</v>
      </c>
      <c r="T5" s="2">
        <v>11.5</v>
      </c>
      <c r="U5" s="2">
        <v>20</v>
      </c>
      <c r="V5" s="2"/>
      <c r="W5" s="2"/>
      <c r="X5" s="2"/>
      <c r="Y5" s="2">
        <f t="shared" ref="Y5:Y13" si="4">P5/$C5</f>
        <v>0.28169014084507044</v>
      </c>
      <c r="Z5" s="2">
        <f t="shared" ref="Z5:Z13" si="5">Q5/$C5</f>
        <v>0.34788732394366195</v>
      </c>
      <c r="AA5" s="2">
        <f t="shared" ref="AA5:AA13" si="6">R5/$C5</f>
        <v>0.28169014084507044</v>
      </c>
      <c r="AB5" s="2">
        <f t="shared" ref="AB5:AB13" si="7">T5/$C5</f>
        <v>3.2394366197183097E-2</v>
      </c>
      <c r="AC5" s="2">
        <f t="shared" ref="AC5:AC13" si="8">U5/$C5</f>
        <v>5.6338028169014086E-2</v>
      </c>
      <c r="AD5" s="6">
        <f>SUM(Y5:AC5)</f>
        <v>1</v>
      </c>
    </row>
    <row r="6" spans="1:32" hidden="1">
      <c r="A6" s="6" t="s">
        <v>67</v>
      </c>
      <c r="B6" s="6" t="s">
        <v>5</v>
      </c>
      <c r="C6" s="6">
        <v>395</v>
      </c>
      <c r="D6" s="6"/>
      <c r="E6" s="6"/>
      <c r="F6" s="6"/>
      <c r="J6" s="2">
        <v>110</v>
      </c>
      <c r="K6" s="2">
        <v>110</v>
      </c>
      <c r="L6" s="2">
        <v>110</v>
      </c>
      <c r="M6" s="2"/>
      <c r="N6" s="2"/>
      <c r="O6" s="2"/>
      <c r="P6" s="2">
        <f t="shared" si="0"/>
        <v>110</v>
      </c>
      <c r="Q6" s="2">
        <f t="shared" si="1"/>
        <v>143</v>
      </c>
      <c r="R6" s="2">
        <f t="shared" si="2"/>
        <v>110</v>
      </c>
      <c r="S6" s="3">
        <f t="shared" si="3"/>
        <v>363</v>
      </c>
      <c r="T6" s="2">
        <v>12</v>
      </c>
      <c r="U6" s="2">
        <v>20</v>
      </c>
      <c r="V6" s="2"/>
      <c r="W6" s="2"/>
      <c r="X6" s="2"/>
      <c r="Y6" s="2">
        <f t="shared" si="4"/>
        <v>0.27848101265822783</v>
      </c>
      <c r="Z6" s="2">
        <f t="shared" si="5"/>
        <v>0.36202531645569619</v>
      </c>
      <c r="AA6" s="2">
        <f t="shared" si="6"/>
        <v>0.27848101265822783</v>
      </c>
      <c r="AB6" s="2">
        <f t="shared" si="7"/>
        <v>3.0379746835443037E-2</v>
      </c>
      <c r="AC6" s="2">
        <f t="shared" si="8"/>
        <v>5.0632911392405063E-2</v>
      </c>
      <c r="AD6" s="6">
        <f t="shared" ref="AD6:AD23" si="9">SUM(Y6:AC6)</f>
        <v>1</v>
      </c>
    </row>
    <row r="7" spans="1:32" hidden="1">
      <c r="A7" s="6" t="s">
        <v>68</v>
      </c>
      <c r="B7" s="6" t="s">
        <v>5</v>
      </c>
      <c r="C7" s="6">
        <v>454</v>
      </c>
      <c r="D7" s="6"/>
      <c r="E7" s="6"/>
      <c r="F7" s="6"/>
      <c r="J7" s="2">
        <v>120</v>
      </c>
      <c r="K7" s="2">
        <v>140</v>
      </c>
      <c r="L7" s="2">
        <v>120</v>
      </c>
      <c r="M7" s="2"/>
      <c r="N7" s="2"/>
      <c r="O7" s="2"/>
      <c r="P7" s="2">
        <f t="shared" si="0"/>
        <v>120</v>
      </c>
      <c r="Q7" s="2">
        <f t="shared" si="1"/>
        <v>182</v>
      </c>
      <c r="R7" s="2">
        <f t="shared" si="2"/>
        <v>120</v>
      </c>
      <c r="S7" s="3">
        <f t="shared" si="3"/>
        <v>422</v>
      </c>
      <c r="T7" s="2">
        <v>12</v>
      </c>
      <c r="U7" s="2">
        <v>20</v>
      </c>
      <c r="V7" s="2"/>
      <c r="W7" s="2"/>
      <c r="X7" s="2"/>
      <c r="Y7" s="2">
        <f t="shared" si="4"/>
        <v>0.26431718061674009</v>
      </c>
      <c r="Z7" s="2">
        <f t="shared" si="5"/>
        <v>0.40088105726872247</v>
      </c>
      <c r="AA7" s="2">
        <f t="shared" si="6"/>
        <v>0.26431718061674009</v>
      </c>
      <c r="AB7" s="2">
        <f t="shared" si="7"/>
        <v>2.643171806167401E-2</v>
      </c>
      <c r="AC7" s="2">
        <f t="shared" si="8"/>
        <v>4.405286343612335E-2</v>
      </c>
      <c r="AD7" s="6">
        <f t="shared" si="9"/>
        <v>1</v>
      </c>
    </row>
    <row r="8" spans="1:32" hidden="1">
      <c r="A8" s="6" t="s">
        <v>69</v>
      </c>
      <c r="B8" s="6" t="s">
        <v>5</v>
      </c>
      <c r="C8" s="6">
        <v>494</v>
      </c>
      <c r="D8" s="6"/>
      <c r="E8" s="6"/>
      <c r="F8" s="6"/>
      <c r="J8" s="2">
        <v>140</v>
      </c>
      <c r="K8" s="2">
        <v>140</v>
      </c>
      <c r="L8" s="2">
        <v>140</v>
      </c>
      <c r="M8" s="2"/>
      <c r="N8" s="2"/>
      <c r="O8" s="2"/>
      <c r="P8" s="2">
        <f t="shared" si="0"/>
        <v>140</v>
      </c>
      <c r="Q8" s="2">
        <f t="shared" si="1"/>
        <v>182</v>
      </c>
      <c r="R8" s="2">
        <f t="shared" si="2"/>
        <v>140</v>
      </c>
      <c r="S8" s="3">
        <f t="shared" si="3"/>
        <v>462</v>
      </c>
      <c r="T8" s="2">
        <v>12</v>
      </c>
      <c r="U8" s="2">
        <v>20</v>
      </c>
      <c r="V8" s="2"/>
      <c r="W8" s="2"/>
      <c r="X8" s="2"/>
      <c r="Y8" s="2">
        <f t="shared" si="4"/>
        <v>0.2834008097165992</v>
      </c>
      <c r="Z8" s="2">
        <f t="shared" si="5"/>
        <v>0.36842105263157893</v>
      </c>
      <c r="AA8" s="2">
        <f t="shared" si="6"/>
        <v>0.2834008097165992</v>
      </c>
      <c r="AB8" s="2">
        <f t="shared" si="7"/>
        <v>2.4291497975708502E-2</v>
      </c>
      <c r="AC8" s="2">
        <f t="shared" si="8"/>
        <v>4.048582995951417E-2</v>
      </c>
      <c r="AD8" s="6">
        <f t="shared" si="9"/>
        <v>1</v>
      </c>
    </row>
    <row r="9" spans="1:32">
      <c r="A9" s="6" t="s">
        <v>70</v>
      </c>
      <c r="B9" s="6" t="s">
        <v>5</v>
      </c>
      <c r="C9" s="6">
        <v>534</v>
      </c>
      <c r="D9" s="6" t="s">
        <v>37</v>
      </c>
      <c r="E9" s="6" t="s">
        <v>38</v>
      </c>
      <c r="F9" s="6" t="s">
        <v>37</v>
      </c>
      <c r="J9" s="2">
        <v>160</v>
      </c>
      <c r="K9" s="2">
        <v>140</v>
      </c>
      <c r="L9" s="2">
        <v>160</v>
      </c>
      <c r="M9" s="2"/>
      <c r="N9" s="2"/>
      <c r="O9" s="2"/>
      <c r="P9" s="2">
        <f t="shared" si="0"/>
        <v>160</v>
      </c>
      <c r="Q9" s="2">
        <f t="shared" si="1"/>
        <v>182</v>
      </c>
      <c r="R9" s="2">
        <f t="shared" si="2"/>
        <v>160</v>
      </c>
      <c r="S9" s="3">
        <f t="shared" si="3"/>
        <v>502</v>
      </c>
      <c r="T9" s="2">
        <v>12</v>
      </c>
      <c r="U9" s="2">
        <v>20</v>
      </c>
      <c r="V9" s="2"/>
      <c r="W9" s="2"/>
      <c r="X9" s="2"/>
      <c r="Y9" s="2">
        <f t="shared" si="4"/>
        <v>0.29962546816479402</v>
      </c>
      <c r="Z9" s="2">
        <f t="shared" si="5"/>
        <v>0.34082397003745318</v>
      </c>
      <c r="AA9" s="2">
        <f t="shared" si="6"/>
        <v>0.29962546816479402</v>
      </c>
      <c r="AB9" s="2">
        <f t="shared" si="7"/>
        <v>2.247191011235955E-2</v>
      </c>
      <c r="AC9" s="2">
        <f t="shared" si="8"/>
        <v>3.7453183520599252E-2</v>
      </c>
      <c r="AD9" s="6">
        <f t="shared" si="9"/>
        <v>1.0000000000000002</v>
      </c>
    </row>
    <row r="10" spans="1:32" hidden="1">
      <c r="A10" s="6" t="s">
        <v>71</v>
      </c>
      <c r="B10" s="6" t="s">
        <v>5</v>
      </c>
      <c r="C10" s="6">
        <v>560</v>
      </c>
      <c r="D10" s="6"/>
      <c r="E10" s="6"/>
      <c r="F10" s="6"/>
      <c r="J10" s="2">
        <v>160</v>
      </c>
      <c r="K10" s="2">
        <v>160</v>
      </c>
      <c r="L10" s="2">
        <v>160</v>
      </c>
      <c r="M10" s="2"/>
      <c r="N10" s="2"/>
      <c r="O10" s="2"/>
      <c r="P10" s="2">
        <f t="shared" si="0"/>
        <v>160</v>
      </c>
      <c r="Q10" s="2">
        <f t="shared" si="1"/>
        <v>208</v>
      </c>
      <c r="R10" s="2">
        <f t="shared" si="2"/>
        <v>160</v>
      </c>
      <c r="S10" s="3">
        <f t="shared" si="3"/>
        <v>528</v>
      </c>
      <c r="T10" s="2">
        <v>12</v>
      </c>
      <c r="U10" s="2">
        <v>20</v>
      </c>
      <c r="V10" s="2"/>
      <c r="W10" s="2"/>
      <c r="X10" s="2"/>
      <c r="Y10" s="2">
        <f t="shared" si="4"/>
        <v>0.2857142857142857</v>
      </c>
      <c r="Z10" s="2">
        <f t="shared" si="5"/>
        <v>0.37142857142857144</v>
      </c>
      <c r="AA10" s="2">
        <f t="shared" si="6"/>
        <v>0.2857142857142857</v>
      </c>
      <c r="AB10" s="2">
        <f t="shared" si="7"/>
        <v>2.1428571428571429E-2</v>
      </c>
      <c r="AC10" s="2">
        <f t="shared" si="8"/>
        <v>3.5714285714285712E-2</v>
      </c>
      <c r="AD10" s="6">
        <f t="shared" si="9"/>
        <v>1</v>
      </c>
    </row>
    <row r="11" spans="1:32">
      <c r="A11" s="6" t="s">
        <v>72</v>
      </c>
      <c r="B11" s="6" t="s">
        <v>2</v>
      </c>
      <c r="C11" s="6">
        <v>375</v>
      </c>
      <c r="D11" s="6" t="s">
        <v>39</v>
      </c>
      <c r="E11" s="6" t="s">
        <v>35</v>
      </c>
      <c r="F11" s="6" t="s">
        <v>36</v>
      </c>
      <c r="J11" s="2">
        <v>120</v>
      </c>
      <c r="K11" s="2">
        <v>95</v>
      </c>
      <c r="L11" s="2">
        <v>100</v>
      </c>
      <c r="M11" s="2"/>
      <c r="N11" s="2"/>
      <c r="O11" s="2"/>
      <c r="P11" s="2">
        <f t="shared" si="0"/>
        <v>120</v>
      </c>
      <c r="Q11" s="2">
        <f t="shared" si="1"/>
        <v>123.5</v>
      </c>
      <c r="R11" s="2">
        <f t="shared" si="2"/>
        <v>100</v>
      </c>
      <c r="S11" s="3">
        <f t="shared" si="3"/>
        <v>343.5</v>
      </c>
      <c r="T11" s="2">
        <v>11.5</v>
      </c>
      <c r="U11" s="2">
        <v>20</v>
      </c>
      <c r="V11" s="2"/>
      <c r="W11" s="2"/>
      <c r="X11" s="2"/>
      <c r="Y11" s="2">
        <f t="shared" si="4"/>
        <v>0.32</v>
      </c>
      <c r="Z11" s="2">
        <f t="shared" si="5"/>
        <v>0.32933333333333331</v>
      </c>
      <c r="AA11" s="2">
        <f t="shared" si="6"/>
        <v>0.26666666666666666</v>
      </c>
      <c r="AB11" s="2">
        <f t="shared" si="7"/>
        <v>3.0666666666666665E-2</v>
      </c>
      <c r="AC11" s="2">
        <f t="shared" si="8"/>
        <v>5.3333333333333337E-2</v>
      </c>
      <c r="AD11" s="6">
        <f t="shared" si="9"/>
        <v>0.99999999999999989</v>
      </c>
    </row>
    <row r="12" spans="1:32">
      <c r="A12" s="6" t="s">
        <v>73</v>
      </c>
      <c r="B12" s="6" t="s">
        <v>2</v>
      </c>
      <c r="C12" s="6">
        <v>415</v>
      </c>
      <c r="D12" s="6" t="s">
        <v>39</v>
      </c>
      <c r="E12" s="6" t="s">
        <v>40</v>
      </c>
      <c r="F12" s="6" t="s">
        <v>41</v>
      </c>
      <c r="J12" s="2">
        <v>120</v>
      </c>
      <c r="K12" s="2">
        <v>110</v>
      </c>
      <c r="L12" s="2">
        <v>120</v>
      </c>
      <c r="M12" s="2"/>
      <c r="N12" s="2"/>
      <c r="O12" s="2"/>
      <c r="P12" s="2">
        <f t="shared" si="0"/>
        <v>120</v>
      </c>
      <c r="Q12" s="2">
        <f t="shared" si="1"/>
        <v>143</v>
      </c>
      <c r="R12" s="2">
        <f t="shared" si="2"/>
        <v>120</v>
      </c>
      <c r="S12" s="3">
        <f t="shared" si="3"/>
        <v>383</v>
      </c>
      <c r="T12" s="2">
        <v>12</v>
      </c>
      <c r="U12" s="2">
        <v>20</v>
      </c>
      <c r="V12" s="2"/>
      <c r="W12" s="2"/>
      <c r="X12" s="2"/>
      <c r="Y12" s="2">
        <f t="shared" si="4"/>
        <v>0.28915662650602408</v>
      </c>
      <c r="Z12" s="2">
        <f t="shared" si="5"/>
        <v>0.34457831325301203</v>
      </c>
      <c r="AA12" s="2">
        <f t="shared" si="6"/>
        <v>0.28915662650602408</v>
      </c>
      <c r="AB12" s="2">
        <f t="shared" si="7"/>
        <v>2.891566265060241E-2</v>
      </c>
      <c r="AC12" s="2">
        <f t="shared" si="8"/>
        <v>4.8192771084337352E-2</v>
      </c>
      <c r="AD12" s="6">
        <f t="shared" si="9"/>
        <v>1</v>
      </c>
    </row>
    <row r="13" spans="1:32">
      <c r="A13" s="6" t="s">
        <v>74</v>
      </c>
      <c r="B13" s="6" t="s">
        <v>2</v>
      </c>
      <c r="C13" s="6">
        <v>455</v>
      </c>
      <c r="D13" s="6" t="s">
        <v>39</v>
      </c>
      <c r="E13" s="6" t="s">
        <v>40</v>
      </c>
      <c r="F13" s="6" t="s">
        <v>37</v>
      </c>
      <c r="J13" s="2">
        <v>120</v>
      </c>
      <c r="K13" s="2">
        <v>110</v>
      </c>
      <c r="L13" s="2">
        <v>160</v>
      </c>
      <c r="M13" s="2"/>
      <c r="N13" s="2"/>
      <c r="O13" s="2"/>
      <c r="P13" s="2">
        <f t="shared" si="0"/>
        <v>120</v>
      </c>
      <c r="Q13" s="2">
        <f t="shared" si="1"/>
        <v>143</v>
      </c>
      <c r="R13" s="2">
        <f t="shared" si="2"/>
        <v>160</v>
      </c>
      <c r="S13" s="3">
        <f t="shared" si="3"/>
        <v>423</v>
      </c>
      <c r="T13" s="2">
        <v>12</v>
      </c>
      <c r="U13" s="2">
        <v>20</v>
      </c>
      <c r="V13" s="2"/>
      <c r="W13" s="2"/>
      <c r="X13" s="2"/>
      <c r="Y13" s="2">
        <f t="shared" si="4"/>
        <v>0.26373626373626374</v>
      </c>
      <c r="Z13" s="2">
        <f t="shared" si="5"/>
        <v>0.31428571428571428</v>
      </c>
      <c r="AA13" s="2">
        <f t="shared" si="6"/>
        <v>0.35164835164835168</v>
      </c>
      <c r="AB13" s="2">
        <f t="shared" si="7"/>
        <v>2.6373626373626374E-2</v>
      </c>
      <c r="AC13" s="2">
        <f t="shared" si="8"/>
        <v>4.3956043956043959E-2</v>
      </c>
      <c r="AD13" s="6">
        <f t="shared" si="9"/>
        <v>1</v>
      </c>
    </row>
    <row r="14" spans="1:32">
      <c r="A14" s="7" t="s">
        <v>16</v>
      </c>
      <c r="B14" s="7" t="s">
        <v>15</v>
      </c>
      <c r="C14" s="7" t="s">
        <v>14</v>
      </c>
      <c r="D14" s="7" t="s">
        <v>6</v>
      </c>
      <c r="E14" s="7" t="s">
        <v>7</v>
      </c>
      <c r="F14" s="7" t="s">
        <v>6</v>
      </c>
      <c r="J14" s="3" t="s">
        <v>6</v>
      </c>
      <c r="K14" s="3" t="s">
        <v>7</v>
      </c>
      <c r="L14" s="3" t="s">
        <v>8</v>
      </c>
      <c r="M14" s="3"/>
      <c r="N14" s="3"/>
      <c r="O14" s="3"/>
      <c r="P14" s="3" t="s">
        <v>6</v>
      </c>
      <c r="Q14" s="3" t="s">
        <v>7</v>
      </c>
      <c r="R14" s="3" t="s">
        <v>6</v>
      </c>
      <c r="S14" s="3" t="s">
        <v>12</v>
      </c>
      <c r="T14" s="3" t="s">
        <v>11</v>
      </c>
      <c r="U14" s="3" t="s">
        <v>13</v>
      </c>
      <c r="V14" s="3"/>
      <c r="W14" s="3"/>
      <c r="X14" s="3"/>
      <c r="Y14" s="3" t="s">
        <v>6</v>
      </c>
      <c r="Z14" s="3" t="s">
        <v>7</v>
      </c>
      <c r="AA14" s="3" t="s">
        <v>6</v>
      </c>
      <c r="AB14" s="3" t="s">
        <v>11</v>
      </c>
      <c r="AC14" s="3" t="s">
        <v>13</v>
      </c>
      <c r="AD14" s="7" t="s">
        <v>12</v>
      </c>
    </row>
    <row r="15" spans="1:32">
      <c r="A15" s="6" t="s">
        <v>75</v>
      </c>
      <c r="B15" s="6" t="s">
        <v>1</v>
      </c>
      <c r="C15" s="6">
        <v>365</v>
      </c>
      <c r="D15" s="6" t="s">
        <v>36</v>
      </c>
      <c r="E15" s="6" t="s">
        <v>35</v>
      </c>
      <c r="F15" s="6" t="s">
        <v>36</v>
      </c>
      <c r="J15" s="2">
        <v>100</v>
      </c>
      <c r="K15" s="2">
        <v>95</v>
      </c>
      <c r="L15" s="2">
        <v>100</v>
      </c>
      <c r="M15" s="2"/>
      <c r="N15" s="2"/>
      <c r="O15" s="2"/>
      <c r="P15" s="2">
        <f t="shared" si="0"/>
        <v>100</v>
      </c>
      <c r="Q15" s="2">
        <f t="shared" ref="Q15:Q23" si="10">K15*1.4</f>
        <v>133</v>
      </c>
      <c r="R15" s="2">
        <f t="shared" si="2"/>
        <v>100</v>
      </c>
      <c r="S15" s="3">
        <f t="shared" ref="S15:S23" si="11">SUM(P15:R15)</f>
        <v>333</v>
      </c>
      <c r="T15" s="2">
        <v>12</v>
      </c>
      <c r="U15" s="2">
        <v>20</v>
      </c>
      <c r="V15" s="2"/>
      <c r="W15" s="2"/>
      <c r="X15" s="2"/>
      <c r="Y15" s="2">
        <f t="shared" ref="Y15:Y23" si="12">P15/$C15</f>
        <v>0.27397260273972601</v>
      </c>
      <c r="Z15" s="2">
        <f t="shared" ref="Z15:Z23" si="13">Q15/$C15</f>
        <v>0.36438356164383562</v>
      </c>
      <c r="AA15" s="2">
        <f t="shared" ref="AA15:AA23" si="14">R15/$C15</f>
        <v>0.27397260273972601</v>
      </c>
      <c r="AB15" s="2">
        <f t="shared" ref="AB15:AB23" si="15">T15/$C15</f>
        <v>3.287671232876712E-2</v>
      </c>
      <c r="AC15" s="2">
        <f t="shared" ref="AC15:AC23" si="16">U15/$C15</f>
        <v>5.4794520547945202E-2</v>
      </c>
      <c r="AD15" s="6">
        <f t="shared" si="9"/>
        <v>0.99999999999999989</v>
      </c>
    </row>
    <row r="16" spans="1:32" hidden="1">
      <c r="A16" s="6" t="s">
        <v>76</v>
      </c>
      <c r="B16" s="6" t="s">
        <v>1</v>
      </c>
      <c r="C16" s="6">
        <v>406</v>
      </c>
      <c r="D16" s="6"/>
      <c r="E16" s="6"/>
      <c r="F16" s="6"/>
      <c r="J16" s="2">
        <v>110</v>
      </c>
      <c r="K16" s="2">
        <v>110</v>
      </c>
      <c r="L16" s="2">
        <v>110</v>
      </c>
      <c r="M16" s="2"/>
      <c r="N16" s="2"/>
      <c r="O16" s="2"/>
      <c r="P16" s="2">
        <f t="shared" si="0"/>
        <v>110</v>
      </c>
      <c r="Q16" s="2">
        <f t="shared" si="10"/>
        <v>154</v>
      </c>
      <c r="R16" s="2">
        <f t="shared" si="2"/>
        <v>110</v>
      </c>
      <c r="S16" s="3">
        <f t="shared" si="11"/>
        <v>374</v>
      </c>
      <c r="T16" s="2">
        <v>12</v>
      </c>
      <c r="U16" s="2">
        <v>20</v>
      </c>
      <c r="V16" s="2"/>
      <c r="W16" s="2"/>
      <c r="X16" s="2"/>
      <c r="Y16" s="2">
        <f t="shared" si="12"/>
        <v>0.27093596059113301</v>
      </c>
      <c r="Z16" s="2">
        <f t="shared" si="13"/>
        <v>0.37931034482758619</v>
      </c>
      <c r="AA16" s="2">
        <f t="shared" si="14"/>
        <v>0.27093596059113301</v>
      </c>
      <c r="AB16" s="2">
        <f t="shared" si="15"/>
        <v>2.9556650246305417E-2</v>
      </c>
      <c r="AC16" s="2">
        <f t="shared" si="16"/>
        <v>4.9261083743842367E-2</v>
      </c>
      <c r="AD16" s="6">
        <f t="shared" si="9"/>
        <v>1</v>
      </c>
    </row>
    <row r="17" spans="1:32" hidden="1">
      <c r="A17" s="6" t="s">
        <v>77</v>
      </c>
      <c r="B17" s="6" t="s">
        <v>1</v>
      </c>
      <c r="C17" s="6">
        <v>468</v>
      </c>
      <c r="D17" s="6"/>
      <c r="E17" s="6"/>
      <c r="F17" s="6"/>
      <c r="J17" s="2">
        <v>120</v>
      </c>
      <c r="K17" s="2">
        <v>140</v>
      </c>
      <c r="L17" s="2">
        <v>120</v>
      </c>
      <c r="M17" s="2"/>
      <c r="N17" s="2"/>
      <c r="O17" s="2"/>
      <c r="P17" s="2">
        <f t="shared" si="0"/>
        <v>120</v>
      </c>
      <c r="Q17" s="2">
        <f t="shared" si="10"/>
        <v>196</v>
      </c>
      <c r="R17" s="2">
        <f t="shared" si="2"/>
        <v>120</v>
      </c>
      <c r="S17" s="3">
        <f t="shared" si="11"/>
        <v>436</v>
      </c>
      <c r="T17" s="2">
        <v>12</v>
      </c>
      <c r="U17" s="2">
        <v>20</v>
      </c>
      <c r="V17" s="2"/>
      <c r="W17" s="2"/>
      <c r="X17" s="2"/>
      <c r="Y17" s="2">
        <f t="shared" si="12"/>
        <v>0.25641025641025639</v>
      </c>
      <c r="Z17" s="2">
        <f t="shared" si="13"/>
        <v>0.41880341880341881</v>
      </c>
      <c r="AA17" s="2">
        <f t="shared" si="14"/>
        <v>0.25641025641025639</v>
      </c>
      <c r="AB17" s="2">
        <f t="shared" si="15"/>
        <v>2.564102564102564E-2</v>
      </c>
      <c r="AC17" s="2">
        <f t="shared" si="16"/>
        <v>4.2735042735042736E-2</v>
      </c>
      <c r="AD17" s="6">
        <f t="shared" si="9"/>
        <v>1</v>
      </c>
    </row>
    <row r="18" spans="1:32" hidden="1">
      <c r="A18" s="6" t="s">
        <v>78</v>
      </c>
      <c r="B18" s="6" t="s">
        <v>1</v>
      </c>
      <c r="C18" s="6">
        <v>508</v>
      </c>
      <c r="D18" s="6"/>
      <c r="E18" s="6"/>
      <c r="F18" s="6"/>
      <c r="J18" s="2">
        <v>140</v>
      </c>
      <c r="K18" s="2">
        <v>140</v>
      </c>
      <c r="L18" s="2">
        <v>140</v>
      </c>
      <c r="M18" s="2"/>
      <c r="N18" s="2"/>
      <c r="O18" s="2"/>
      <c r="P18" s="2">
        <f t="shared" si="0"/>
        <v>140</v>
      </c>
      <c r="Q18" s="2">
        <f t="shared" si="10"/>
        <v>196</v>
      </c>
      <c r="R18" s="2">
        <f t="shared" si="2"/>
        <v>140</v>
      </c>
      <c r="S18" s="3">
        <f t="shared" si="11"/>
        <v>476</v>
      </c>
      <c r="T18" s="2">
        <v>12</v>
      </c>
      <c r="U18" s="2">
        <v>20</v>
      </c>
      <c r="V18" s="2"/>
      <c r="W18" s="2"/>
      <c r="X18" s="2"/>
      <c r="Y18" s="2">
        <f t="shared" si="12"/>
        <v>0.27559055118110237</v>
      </c>
      <c r="Z18" s="2">
        <f t="shared" si="13"/>
        <v>0.38582677165354329</v>
      </c>
      <c r="AA18" s="2">
        <f t="shared" si="14"/>
        <v>0.27559055118110237</v>
      </c>
      <c r="AB18" s="2">
        <f t="shared" si="15"/>
        <v>2.3622047244094488E-2</v>
      </c>
      <c r="AC18" s="2">
        <f t="shared" si="16"/>
        <v>3.937007874015748E-2</v>
      </c>
      <c r="AD18" s="6">
        <f t="shared" si="9"/>
        <v>0.99999999999999989</v>
      </c>
    </row>
    <row r="19" spans="1:32">
      <c r="A19" s="6" t="s">
        <v>79</v>
      </c>
      <c r="B19" s="6" t="s">
        <v>1</v>
      </c>
      <c r="C19" s="6">
        <v>548</v>
      </c>
      <c r="D19" s="6" t="s">
        <v>37</v>
      </c>
      <c r="E19" s="6" t="s">
        <v>38</v>
      </c>
      <c r="F19" s="6" t="s">
        <v>37</v>
      </c>
      <c r="J19" s="2">
        <v>160</v>
      </c>
      <c r="K19" s="2">
        <v>140</v>
      </c>
      <c r="L19" s="2">
        <v>160</v>
      </c>
      <c r="M19" s="2"/>
      <c r="N19" s="2"/>
      <c r="O19" s="2"/>
      <c r="P19" s="2">
        <f t="shared" si="0"/>
        <v>160</v>
      </c>
      <c r="Q19" s="2">
        <f t="shared" si="10"/>
        <v>196</v>
      </c>
      <c r="R19" s="2">
        <f t="shared" si="2"/>
        <v>160</v>
      </c>
      <c r="S19" s="3">
        <f t="shared" si="11"/>
        <v>516</v>
      </c>
      <c r="T19" s="2">
        <v>12</v>
      </c>
      <c r="U19" s="2">
        <v>20</v>
      </c>
      <c r="V19" s="2"/>
      <c r="W19" s="2"/>
      <c r="X19" s="2"/>
      <c r="Y19" s="2">
        <f t="shared" si="12"/>
        <v>0.29197080291970801</v>
      </c>
      <c r="Z19" s="2">
        <f t="shared" si="13"/>
        <v>0.35766423357664234</v>
      </c>
      <c r="AA19" s="2">
        <f t="shared" si="14"/>
        <v>0.29197080291970801</v>
      </c>
      <c r="AB19" s="2">
        <f t="shared" si="15"/>
        <v>2.1897810218978103E-2</v>
      </c>
      <c r="AC19" s="2">
        <f t="shared" si="16"/>
        <v>3.6496350364963501E-2</v>
      </c>
      <c r="AD19" s="6">
        <f t="shared" si="9"/>
        <v>0.99999999999999989</v>
      </c>
    </row>
    <row r="20" spans="1:32" hidden="1">
      <c r="A20" s="6" t="s">
        <v>80</v>
      </c>
      <c r="B20" s="6" t="s">
        <v>1</v>
      </c>
      <c r="C20" s="6">
        <v>576</v>
      </c>
      <c r="D20" s="6"/>
      <c r="E20" s="6"/>
      <c r="F20" s="6"/>
      <c r="J20" s="2">
        <v>160</v>
      </c>
      <c r="K20" s="2">
        <v>160</v>
      </c>
      <c r="L20" s="2">
        <v>160</v>
      </c>
      <c r="M20" s="2"/>
      <c r="N20" s="2"/>
      <c r="O20" s="2"/>
      <c r="P20" s="2">
        <f t="shared" si="0"/>
        <v>160</v>
      </c>
      <c r="Q20" s="2">
        <f t="shared" si="10"/>
        <v>224</v>
      </c>
      <c r="R20" s="2">
        <f t="shared" si="2"/>
        <v>160</v>
      </c>
      <c r="S20" s="3">
        <f t="shared" si="11"/>
        <v>544</v>
      </c>
      <c r="T20" s="2">
        <v>12</v>
      </c>
      <c r="U20" s="2">
        <v>20</v>
      </c>
      <c r="V20" s="2"/>
      <c r="W20" s="2"/>
      <c r="X20" s="2"/>
      <c r="Y20" s="2">
        <f t="shared" si="12"/>
        <v>0.27777777777777779</v>
      </c>
      <c r="Z20" s="2">
        <f t="shared" si="13"/>
        <v>0.3888888888888889</v>
      </c>
      <c r="AA20" s="2">
        <f t="shared" si="14"/>
        <v>0.27777777777777779</v>
      </c>
      <c r="AB20" s="2">
        <f t="shared" si="15"/>
        <v>2.0833333333333332E-2</v>
      </c>
      <c r="AC20" s="2">
        <f t="shared" si="16"/>
        <v>3.4722222222222224E-2</v>
      </c>
      <c r="AD20" s="6">
        <f t="shared" si="9"/>
        <v>1.0000000000000002</v>
      </c>
    </row>
    <row r="21" spans="1:32">
      <c r="A21" s="6" t="s">
        <v>81</v>
      </c>
      <c r="B21" s="6" t="s">
        <v>0</v>
      </c>
      <c r="C21" s="6">
        <v>385</v>
      </c>
      <c r="D21" s="6" t="s">
        <v>39</v>
      </c>
      <c r="E21" s="6" t="s">
        <v>35</v>
      </c>
      <c r="F21" s="6" t="s">
        <v>36</v>
      </c>
      <c r="J21" s="2">
        <v>120</v>
      </c>
      <c r="K21" s="2">
        <v>95</v>
      </c>
      <c r="L21" s="2">
        <v>100</v>
      </c>
      <c r="M21" s="2"/>
      <c r="N21" s="2"/>
      <c r="O21" s="2"/>
      <c r="P21" s="2">
        <f t="shared" si="0"/>
        <v>120</v>
      </c>
      <c r="Q21" s="2">
        <f t="shared" si="10"/>
        <v>133</v>
      </c>
      <c r="R21" s="2">
        <f t="shared" si="2"/>
        <v>100</v>
      </c>
      <c r="S21" s="3">
        <f t="shared" si="11"/>
        <v>353</v>
      </c>
      <c r="T21" s="2">
        <v>12</v>
      </c>
      <c r="U21" s="2">
        <v>20</v>
      </c>
      <c r="V21" s="2"/>
      <c r="W21" s="2"/>
      <c r="X21" s="2"/>
      <c r="Y21" s="2">
        <f t="shared" si="12"/>
        <v>0.31168831168831168</v>
      </c>
      <c r="Z21" s="2">
        <f t="shared" si="13"/>
        <v>0.34545454545454546</v>
      </c>
      <c r="AA21" s="2">
        <f t="shared" si="14"/>
        <v>0.25974025974025972</v>
      </c>
      <c r="AB21" s="2">
        <f t="shared" si="15"/>
        <v>3.1168831168831169E-2</v>
      </c>
      <c r="AC21" s="2">
        <f t="shared" si="16"/>
        <v>5.1948051948051951E-2</v>
      </c>
      <c r="AD21" s="6">
        <f t="shared" si="9"/>
        <v>1</v>
      </c>
    </row>
    <row r="22" spans="1:32">
      <c r="A22" s="6" t="s">
        <v>82</v>
      </c>
      <c r="B22" s="6" t="s">
        <v>0</v>
      </c>
      <c r="C22" s="6">
        <v>426</v>
      </c>
      <c r="D22" s="6" t="s">
        <v>39</v>
      </c>
      <c r="E22" s="6" t="s">
        <v>40</v>
      </c>
      <c r="F22" s="6" t="s">
        <v>41</v>
      </c>
      <c r="J22" s="2">
        <v>120</v>
      </c>
      <c r="K22" s="2">
        <v>110</v>
      </c>
      <c r="L22" s="2">
        <v>120</v>
      </c>
      <c r="M22" s="2"/>
      <c r="N22" s="2"/>
      <c r="O22" s="2"/>
      <c r="P22" s="2">
        <f t="shared" si="0"/>
        <v>120</v>
      </c>
      <c r="Q22" s="2">
        <f t="shared" si="10"/>
        <v>154</v>
      </c>
      <c r="R22" s="2">
        <f t="shared" si="2"/>
        <v>120</v>
      </c>
      <c r="S22" s="3">
        <f t="shared" si="11"/>
        <v>394</v>
      </c>
      <c r="T22" s="2">
        <v>12</v>
      </c>
      <c r="U22" s="2">
        <v>20</v>
      </c>
      <c r="V22" s="2"/>
      <c r="W22" s="2"/>
      <c r="X22" s="2"/>
      <c r="Y22" s="2">
        <f t="shared" si="12"/>
        <v>0.28169014084507044</v>
      </c>
      <c r="Z22" s="2">
        <f t="shared" si="13"/>
        <v>0.36150234741784038</v>
      </c>
      <c r="AA22" s="2">
        <f t="shared" si="14"/>
        <v>0.28169014084507044</v>
      </c>
      <c r="AB22" s="2">
        <f t="shared" si="15"/>
        <v>2.8169014084507043E-2</v>
      </c>
      <c r="AC22" s="2">
        <f t="shared" si="16"/>
        <v>4.6948356807511735E-2</v>
      </c>
      <c r="AD22" s="6">
        <f t="shared" si="9"/>
        <v>1</v>
      </c>
    </row>
    <row r="23" spans="1:32">
      <c r="A23" s="6" t="s">
        <v>83</v>
      </c>
      <c r="B23" s="6" t="s">
        <v>0</v>
      </c>
      <c r="C23" s="6">
        <v>466</v>
      </c>
      <c r="D23" s="6" t="s">
        <v>39</v>
      </c>
      <c r="E23" s="6" t="s">
        <v>40</v>
      </c>
      <c r="F23" s="6" t="s">
        <v>37</v>
      </c>
      <c r="J23" s="2">
        <v>120</v>
      </c>
      <c r="K23" s="2">
        <v>110</v>
      </c>
      <c r="L23" s="2">
        <v>160</v>
      </c>
      <c r="M23" s="2"/>
      <c r="N23" s="2"/>
      <c r="O23" s="2"/>
      <c r="P23" s="2">
        <f t="shared" si="0"/>
        <v>120</v>
      </c>
      <c r="Q23" s="2">
        <f t="shared" si="10"/>
        <v>154</v>
      </c>
      <c r="R23" s="2">
        <f t="shared" si="2"/>
        <v>160</v>
      </c>
      <c r="S23" s="3">
        <f t="shared" si="11"/>
        <v>434</v>
      </c>
      <c r="T23" s="2">
        <v>12</v>
      </c>
      <c r="U23" s="2">
        <v>20</v>
      </c>
      <c r="V23" s="2"/>
      <c r="W23" s="2"/>
      <c r="X23" s="2"/>
      <c r="Y23" s="2">
        <f t="shared" si="12"/>
        <v>0.25751072961373389</v>
      </c>
      <c r="Z23" s="2">
        <f t="shared" si="13"/>
        <v>0.33047210300429186</v>
      </c>
      <c r="AA23" s="2">
        <f t="shared" si="14"/>
        <v>0.34334763948497854</v>
      </c>
      <c r="AB23" s="2">
        <f t="shared" si="15"/>
        <v>2.575107296137339E-2</v>
      </c>
      <c r="AC23" s="2">
        <f t="shared" si="16"/>
        <v>4.2918454935622317E-2</v>
      </c>
      <c r="AD23" s="6">
        <f t="shared" si="9"/>
        <v>0.99999999999999989</v>
      </c>
    </row>
    <row r="24" spans="1:32">
      <c r="A24" s="5"/>
    </row>
    <row r="25" spans="1:32">
      <c r="A25" s="5"/>
      <c r="B25" s="7" t="s">
        <v>15</v>
      </c>
      <c r="C25" s="7" t="s">
        <v>14</v>
      </c>
      <c r="D25" s="7" t="s">
        <v>6</v>
      </c>
      <c r="E25" s="7" t="s">
        <v>7</v>
      </c>
      <c r="F25" s="7" t="s">
        <v>6</v>
      </c>
      <c r="G25" s="7" t="s">
        <v>7</v>
      </c>
      <c r="H25" s="7" t="s">
        <v>6</v>
      </c>
      <c r="J25" s="3"/>
      <c r="K25" s="3"/>
      <c r="L25" s="3"/>
      <c r="M25" s="3"/>
      <c r="N25" s="3"/>
      <c r="O25" s="3"/>
      <c r="P25" s="3" t="s">
        <v>6</v>
      </c>
      <c r="Q25" s="3" t="s">
        <v>7</v>
      </c>
      <c r="R25" s="3" t="s">
        <v>6</v>
      </c>
      <c r="S25" s="3" t="s">
        <v>7</v>
      </c>
      <c r="T25" s="3" t="s">
        <v>6</v>
      </c>
      <c r="U25" s="3" t="s">
        <v>12</v>
      </c>
      <c r="V25" s="3" t="s">
        <v>11</v>
      </c>
      <c r="W25" s="3" t="s">
        <v>13</v>
      </c>
      <c r="X25" s="3"/>
      <c r="Y25" s="3" t="s">
        <v>6</v>
      </c>
      <c r="Z25" s="3" t="s">
        <v>7</v>
      </c>
      <c r="AA25" s="3" t="s">
        <v>6</v>
      </c>
      <c r="AB25" s="3" t="s">
        <v>7</v>
      </c>
      <c r="AC25" s="3" t="s">
        <v>6</v>
      </c>
      <c r="AD25" s="3" t="s">
        <v>11</v>
      </c>
      <c r="AE25" s="3" t="s">
        <v>13</v>
      </c>
      <c r="AF25" s="7" t="s">
        <v>12</v>
      </c>
    </row>
    <row r="26" spans="1:32">
      <c r="A26" s="10" t="s">
        <v>84</v>
      </c>
      <c r="B26" s="6" t="s">
        <v>9</v>
      </c>
      <c r="C26" s="6">
        <v>595</v>
      </c>
      <c r="D26" s="6" t="s">
        <v>36</v>
      </c>
      <c r="E26" s="6" t="s">
        <v>35</v>
      </c>
      <c r="F26" s="6" t="s">
        <v>35</v>
      </c>
      <c r="G26" s="6" t="s">
        <v>35</v>
      </c>
      <c r="H26" s="6" t="s">
        <v>36</v>
      </c>
      <c r="J26" s="2">
        <v>100</v>
      </c>
      <c r="K26" s="2">
        <v>95</v>
      </c>
      <c r="L26" s="2">
        <v>95</v>
      </c>
      <c r="M26" s="2">
        <v>95</v>
      </c>
      <c r="N26" s="2">
        <v>100</v>
      </c>
      <c r="O26" s="2"/>
      <c r="P26" s="2">
        <f t="shared" si="0"/>
        <v>100</v>
      </c>
      <c r="Q26" s="2">
        <f>K26*1.3</f>
        <v>123.5</v>
      </c>
      <c r="R26" s="2">
        <f>L26</f>
        <v>95</v>
      </c>
      <c r="S26" s="4">
        <f>M26*1.4</f>
        <v>133</v>
      </c>
      <c r="T26" s="2">
        <f>N26</f>
        <v>100</v>
      </c>
      <c r="U26" s="3">
        <f>SUM(P26:T26)</f>
        <v>551.5</v>
      </c>
      <c r="V26" s="2">
        <v>23.5</v>
      </c>
      <c r="W26" s="2">
        <v>20</v>
      </c>
      <c r="X26" s="2"/>
      <c r="Y26" s="2">
        <f t="shared" ref="Y26:AC30" si="17">P26/$C26</f>
        <v>0.16806722689075632</v>
      </c>
      <c r="Z26" s="2">
        <f t="shared" si="17"/>
        <v>0.20756302521008405</v>
      </c>
      <c r="AA26" s="2">
        <f t="shared" si="17"/>
        <v>0.15966386554621848</v>
      </c>
      <c r="AB26" s="2">
        <f t="shared" si="17"/>
        <v>0.22352941176470589</v>
      </c>
      <c r="AC26" s="2">
        <f t="shared" si="17"/>
        <v>0.16806722689075632</v>
      </c>
      <c r="AD26" s="2">
        <f t="shared" ref="AD26:AE30" si="18">V26/$C26</f>
        <v>3.949579831932773E-2</v>
      </c>
      <c r="AE26" s="2">
        <f t="shared" si="18"/>
        <v>3.3613445378151259E-2</v>
      </c>
      <c r="AF26" s="6">
        <f>SUM(Y26:AE26)</f>
        <v>1</v>
      </c>
    </row>
    <row r="27" spans="1:32">
      <c r="A27" s="10" t="s">
        <v>85</v>
      </c>
      <c r="B27" s="6" t="s">
        <v>9</v>
      </c>
      <c r="C27" s="6">
        <v>676</v>
      </c>
      <c r="D27" s="6" t="s">
        <v>41</v>
      </c>
      <c r="E27" s="6" t="s">
        <v>40</v>
      </c>
      <c r="F27" s="6" t="s">
        <v>35</v>
      </c>
      <c r="G27" s="6" t="s">
        <v>40</v>
      </c>
      <c r="H27" s="6" t="s">
        <v>41</v>
      </c>
      <c r="J27" s="2">
        <v>120</v>
      </c>
      <c r="K27" s="2">
        <v>110</v>
      </c>
      <c r="L27" s="2">
        <v>95</v>
      </c>
      <c r="M27" s="2">
        <v>110</v>
      </c>
      <c r="N27" s="2">
        <v>120</v>
      </c>
      <c r="O27" s="2"/>
      <c r="P27" s="2">
        <f t="shared" si="0"/>
        <v>120</v>
      </c>
      <c r="Q27" s="2">
        <f>K27*1.3</f>
        <v>143</v>
      </c>
      <c r="R27" s="2">
        <f t="shared" ref="R27:R30" si="19">L27</f>
        <v>95</v>
      </c>
      <c r="S27" s="4">
        <f t="shared" ref="S27:S30" si="20">M27*1.4</f>
        <v>154</v>
      </c>
      <c r="T27" s="2">
        <f t="shared" ref="T27:T30" si="21">N27</f>
        <v>120</v>
      </c>
      <c r="U27" s="3">
        <f t="shared" ref="U27:U30" si="22">SUM(P27:T27)</f>
        <v>632</v>
      </c>
      <c r="V27" s="2">
        <v>24</v>
      </c>
      <c r="W27" s="2">
        <v>20</v>
      </c>
      <c r="X27" s="2"/>
      <c r="Y27" s="2">
        <f t="shared" si="17"/>
        <v>0.17751479289940827</v>
      </c>
      <c r="Z27" s="2">
        <f t="shared" si="17"/>
        <v>0.21153846153846154</v>
      </c>
      <c r="AA27" s="2">
        <f t="shared" si="17"/>
        <v>0.14053254437869822</v>
      </c>
      <c r="AB27" s="2">
        <f t="shared" si="17"/>
        <v>0.22781065088757396</v>
      </c>
      <c r="AC27" s="2">
        <f t="shared" si="17"/>
        <v>0.17751479289940827</v>
      </c>
      <c r="AD27" s="2">
        <f t="shared" si="18"/>
        <v>3.5502958579881658E-2</v>
      </c>
      <c r="AE27" s="2">
        <f t="shared" si="18"/>
        <v>2.9585798816568046E-2</v>
      </c>
      <c r="AF27" s="6">
        <f t="shared" ref="AF27:AF30" si="23">SUM(Y27:AE27)</f>
        <v>0.99999999999999989</v>
      </c>
    </row>
    <row r="28" spans="1:32">
      <c r="A28" s="10" t="s">
        <v>86</v>
      </c>
      <c r="B28" s="6" t="s">
        <v>9</v>
      </c>
      <c r="C28" s="6">
        <v>716</v>
      </c>
      <c r="D28" s="6" t="s">
        <v>42</v>
      </c>
      <c r="E28" s="6" t="s">
        <v>40</v>
      </c>
      <c r="F28" s="6" t="s">
        <v>35</v>
      </c>
      <c r="G28" s="6" t="s">
        <v>40</v>
      </c>
      <c r="H28" s="6" t="s">
        <v>42</v>
      </c>
      <c r="J28" s="2">
        <v>140</v>
      </c>
      <c r="K28" s="2">
        <v>110</v>
      </c>
      <c r="L28" s="2">
        <v>95</v>
      </c>
      <c r="M28" s="2">
        <v>110</v>
      </c>
      <c r="N28" s="2">
        <v>140</v>
      </c>
      <c r="O28" s="2"/>
      <c r="P28" s="2">
        <f t="shared" si="0"/>
        <v>140</v>
      </c>
      <c r="Q28" s="2">
        <f>K28*1.3</f>
        <v>143</v>
      </c>
      <c r="R28" s="2">
        <f t="shared" si="19"/>
        <v>95</v>
      </c>
      <c r="S28" s="4">
        <f t="shared" si="20"/>
        <v>154</v>
      </c>
      <c r="T28" s="2">
        <f t="shared" si="21"/>
        <v>140</v>
      </c>
      <c r="U28" s="3">
        <f t="shared" si="22"/>
        <v>672</v>
      </c>
      <c r="V28" s="2">
        <v>24</v>
      </c>
      <c r="W28" s="2">
        <v>20</v>
      </c>
      <c r="X28" s="2"/>
      <c r="Y28" s="2">
        <f t="shared" si="17"/>
        <v>0.19553072625698323</v>
      </c>
      <c r="Z28" s="2">
        <f t="shared" si="17"/>
        <v>0.19972067039106145</v>
      </c>
      <c r="AA28" s="2">
        <f t="shared" si="17"/>
        <v>0.13268156424581007</v>
      </c>
      <c r="AB28" s="2">
        <f t="shared" si="17"/>
        <v>0.21508379888268156</v>
      </c>
      <c r="AC28" s="2">
        <f t="shared" si="17"/>
        <v>0.19553072625698323</v>
      </c>
      <c r="AD28" s="2">
        <f t="shared" si="18"/>
        <v>3.3519553072625698E-2</v>
      </c>
      <c r="AE28" s="2">
        <f t="shared" si="18"/>
        <v>2.7932960893854747E-2</v>
      </c>
      <c r="AF28" s="6">
        <f t="shared" si="23"/>
        <v>1</v>
      </c>
    </row>
    <row r="29" spans="1:32">
      <c r="A29" s="10" t="s">
        <v>87</v>
      </c>
      <c r="B29" s="6" t="s">
        <v>9</v>
      </c>
      <c r="C29" s="6">
        <v>797</v>
      </c>
      <c r="D29" s="6" t="s">
        <v>42</v>
      </c>
      <c r="E29" s="6" t="s">
        <v>38</v>
      </c>
      <c r="F29" s="6" t="s">
        <v>35</v>
      </c>
      <c r="G29" s="6" t="s">
        <v>38</v>
      </c>
      <c r="H29" s="6" t="s">
        <v>42</v>
      </c>
      <c r="J29" s="2">
        <v>140</v>
      </c>
      <c r="K29" s="2">
        <v>140</v>
      </c>
      <c r="L29" s="2">
        <v>95</v>
      </c>
      <c r="M29" s="2">
        <v>140</v>
      </c>
      <c r="N29" s="2">
        <v>140</v>
      </c>
      <c r="O29" s="2"/>
      <c r="P29" s="2">
        <f t="shared" si="0"/>
        <v>140</v>
      </c>
      <c r="Q29" s="2">
        <f>K29*1.3</f>
        <v>182</v>
      </c>
      <c r="R29" s="2">
        <f t="shared" si="19"/>
        <v>95</v>
      </c>
      <c r="S29" s="4">
        <f t="shared" si="20"/>
        <v>196</v>
      </c>
      <c r="T29" s="2">
        <f t="shared" si="21"/>
        <v>140</v>
      </c>
      <c r="U29" s="3">
        <f t="shared" si="22"/>
        <v>753</v>
      </c>
      <c r="V29" s="2">
        <v>24</v>
      </c>
      <c r="W29" s="2">
        <v>20</v>
      </c>
      <c r="X29" s="2"/>
      <c r="Y29" s="2">
        <f t="shared" si="17"/>
        <v>0.17565872020075282</v>
      </c>
      <c r="Z29" s="2">
        <f t="shared" si="17"/>
        <v>0.22835633626097868</v>
      </c>
      <c r="AA29" s="2">
        <f t="shared" si="17"/>
        <v>0.1191969887076537</v>
      </c>
      <c r="AB29" s="2">
        <f t="shared" si="17"/>
        <v>0.24592220828105396</v>
      </c>
      <c r="AC29" s="2">
        <f t="shared" si="17"/>
        <v>0.17565872020075282</v>
      </c>
      <c r="AD29" s="2">
        <f t="shared" si="18"/>
        <v>3.0112923462986198E-2</v>
      </c>
      <c r="AE29" s="2">
        <f t="shared" si="18"/>
        <v>2.5094102885821833E-2</v>
      </c>
      <c r="AF29" s="6">
        <f t="shared" si="23"/>
        <v>1</v>
      </c>
    </row>
    <row r="30" spans="1:32">
      <c r="A30" s="10" t="s">
        <v>88</v>
      </c>
      <c r="B30" s="6" t="s">
        <v>10</v>
      </c>
      <c r="C30" s="6">
        <v>635</v>
      </c>
      <c r="D30" s="6" t="s">
        <v>39</v>
      </c>
      <c r="E30" s="6" t="s">
        <v>35</v>
      </c>
      <c r="F30" s="6" t="s">
        <v>35</v>
      </c>
      <c r="G30" s="6" t="s">
        <v>35</v>
      </c>
      <c r="H30" s="6" t="s">
        <v>41</v>
      </c>
      <c r="J30" s="2">
        <v>120</v>
      </c>
      <c r="K30" s="2">
        <v>95</v>
      </c>
      <c r="L30" s="2">
        <v>95</v>
      </c>
      <c r="M30" s="2">
        <v>95</v>
      </c>
      <c r="N30" s="2">
        <v>120</v>
      </c>
      <c r="O30" s="2"/>
      <c r="P30" s="2">
        <f t="shared" si="0"/>
        <v>120</v>
      </c>
      <c r="Q30" s="2">
        <f>K30*1.3</f>
        <v>123.5</v>
      </c>
      <c r="R30" s="2">
        <f t="shared" si="19"/>
        <v>95</v>
      </c>
      <c r="S30" s="4">
        <f t="shared" si="20"/>
        <v>133</v>
      </c>
      <c r="T30" s="2">
        <f t="shared" si="21"/>
        <v>120</v>
      </c>
      <c r="U30" s="3">
        <f t="shared" si="22"/>
        <v>591.5</v>
      </c>
      <c r="V30" s="2">
        <v>23.5</v>
      </c>
      <c r="W30" s="2">
        <v>20</v>
      </c>
      <c r="X30" s="2"/>
      <c r="Y30" s="2">
        <f t="shared" si="17"/>
        <v>0.1889763779527559</v>
      </c>
      <c r="Z30" s="2">
        <f t="shared" si="17"/>
        <v>0.19448818897637796</v>
      </c>
      <c r="AA30" s="2">
        <f t="shared" si="17"/>
        <v>0.14960629921259844</v>
      </c>
      <c r="AB30" s="2">
        <f t="shared" si="17"/>
        <v>0.20944881889763781</v>
      </c>
      <c r="AC30" s="2">
        <f t="shared" si="17"/>
        <v>0.1889763779527559</v>
      </c>
      <c r="AD30" s="2">
        <f t="shared" si="18"/>
        <v>3.7007874015748031E-2</v>
      </c>
      <c r="AE30" s="2">
        <f t="shared" si="18"/>
        <v>3.1496062992125984E-2</v>
      </c>
      <c r="AF30" s="6">
        <f t="shared" si="23"/>
        <v>1</v>
      </c>
    </row>
  </sheetData>
  <mergeCells count="1">
    <mergeCell ref="A2:AF2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COMPOSIÇÕES - ONDA B</vt:lpstr>
      <vt:lpstr>COMPOSIÇÕES - ONDA C</vt:lpstr>
      <vt:lpstr>COMPOSIÇÕES - ONDA BC</vt:lpstr>
      <vt:lpstr>COMUM</vt:lpstr>
      <vt:lpstr>RESINADO INT.</vt:lpstr>
      <vt:lpstr>RESINADO INT. EXT.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mlima</dc:creator>
  <cp:lastModifiedBy>mlima</cp:lastModifiedBy>
  <cp:lastPrinted>2017-08-22T12:00:05Z</cp:lastPrinted>
  <dcterms:created xsi:type="dcterms:W3CDTF">2017-08-18T17:26:42Z</dcterms:created>
  <dcterms:modified xsi:type="dcterms:W3CDTF">2017-08-22T12:01:25Z</dcterms:modified>
</cp:coreProperties>
</file>